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506481B4-68AB-4F8E-90CA-8841B0ED2818}" xr6:coauthVersionLast="47" xr6:coauthVersionMax="47" xr10:uidLastSave="{00000000-0000-0000-0000-000000000000}"/>
  <bookViews>
    <workbookView showHorizontalScroll="0" showVerticalScroll="0" xWindow="-108" yWindow="-108" windowWidth="23256" windowHeight="12456" tabRatio="842" xr2:uid="{00000000-000D-0000-FFFF-FFFF00000000}"/>
  </bookViews>
  <sheets>
    <sheet name="الاليات" sheetId="2" r:id="rId1"/>
    <sheet name="C 22730" sheetId="145" r:id="rId2"/>
    <sheet name="366" sheetId="144" r:id="rId3"/>
    <sheet name="C8365" sheetId="143" r:id="rId4"/>
    <sheet name="C23987" sheetId="140" r:id="rId5"/>
    <sheet name=" C 24000- خباطة" sheetId="141" r:id="rId6"/>
    <sheet name="C 24135- خباطة " sheetId="142" r:id="rId7"/>
    <sheet name="C 24283 - خباطة " sheetId="139" r:id="rId8"/>
    <sheet name="توسان 88707" sheetId="96" r:id="rId9"/>
    <sheet name=" 11 A 71993 تويوتا بيك اب" sheetId="82" r:id="rId10"/>
    <sheet name="11 W 8011 تاهو" sheetId="100" r:id="rId11"/>
    <sheet name="برادو 2009" sheetId="99" r:id="rId12"/>
    <sheet name="2022 البرادو " sheetId="119" r:id="rId13"/>
    <sheet name="جيب شيروكي " sheetId="127" r:id="rId14"/>
    <sheet name="راف فور" sheetId="128" r:id="rId15"/>
    <sheet name="تويوتا بكب 28332" sheetId="74" r:id="rId16"/>
    <sheet name="تويوتا بكب 88646" sheetId="81" r:id="rId17"/>
    <sheet name="تويوتا بكب 71711" sheetId="105" r:id="rId18"/>
    <sheet name="تويوتا بكب 9364" sheetId="90" r:id="rId19"/>
    <sheet name="تويوتا بكب 38020" sheetId="117" r:id="rId20"/>
    <sheet name="H 68461 تويوتا بكب" sheetId="132" r:id="rId21"/>
    <sheet name="H 83043 تويوتا بكب " sheetId="131" r:id="rId22"/>
    <sheet name="2025 تويوتا بكب (2)" sheetId="133" r:id="rId23"/>
    <sheet name="2025 تويوتا بكب (3)" sheetId="134" r:id="rId24"/>
    <sheet name="2025 تويوتا بكب (4)  " sheetId="135" r:id="rId25"/>
    <sheet name="تويوتا بكب 49923" sheetId="93" r:id="rId26"/>
    <sheet name="كيا 87740" sheetId="80" r:id="rId27"/>
    <sheet name="كيا 84103" sheetId="78" r:id="rId28"/>
    <sheet name="كيا 87065" sheetId="76" r:id="rId29"/>
    <sheet name="كيا  68783 " sheetId="77" r:id="rId30"/>
    <sheet name="كيا 80540" sheetId="86" r:id="rId31"/>
    <sheet name="كيا 4462" sheetId="92" r:id="rId32"/>
    <sheet name="كيا 41711" sheetId="109" r:id="rId33"/>
    <sheet name="كيا 46696" sheetId="75" r:id="rId34"/>
    <sheet name="كيا  99237 " sheetId="130" r:id="rId35"/>
    <sheet name="كنتر بيك اب 94707" sheetId="95" r:id="rId36"/>
    <sheet name="خباطة 50955" sheetId="6" r:id="rId37"/>
    <sheet name="خباطة 94900" sheetId="7" r:id="rId38"/>
    <sheet name="خباطة 53389" sheetId="4" r:id="rId39"/>
    <sheet name="خباطة 29501" sheetId="3" r:id="rId40"/>
    <sheet name="خباطة 60036" sheetId="5" r:id="rId41"/>
    <sheet name="خباطة 10976" sheetId="125" r:id="rId42"/>
    <sheet name="حفار9315" sheetId="18" r:id="rId43"/>
    <sheet name="حفار  6943 " sheetId="106" r:id="rId44"/>
    <sheet name="حفار9499" sheetId="21" r:id="rId45"/>
    <sheet name="10967 حفارة " sheetId="129" r:id="rId46"/>
    <sheet name="حفار9540" sheetId="20" r:id="rId47"/>
    <sheet name="حفارة 8623" sheetId="10" r:id="rId48"/>
    <sheet name="حفارة 9797" sheetId="126" r:id="rId49"/>
    <sheet name="حفارة 9726" sheetId="11" r:id="rId50"/>
    <sheet name="حفار8305" sheetId="19" r:id="rId51"/>
    <sheet name="حفارة 58180" sheetId="12" r:id="rId52"/>
    <sheet name="حفارر24006" sheetId="16" r:id="rId53"/>
    <sheet name="حفارر 58178" sheetId="14" r:id="rId54"/>
    <sheet name="حفار كماتسو صغير " sheetId="124" r:id="rId55"/>
    <sheet name="شفل9595" sheetId="33" r:id="rId56"/>
    <sheet name="شفل8664" sheetId="31" r:id="rId57"/>
    <sheet name="شفل  8624" sheetId="123" r:id="rId58"/>
    <sheet name="شفل77701" sheetId="24" r:id="rId59"/>
    <sheet name="شفل6010" sheetId="25" r:id="rId60"/>
    <sheet name="شفل2493" sheetId="26" r:id="rId61"/>
    <sheet name="شفل 50915 " sheetId="137" r:id="rId62"/>
    <sheet name="شفل57943" sheetId="29" r:id="rId63"/>
    <sheet name="شفل57946" sheetId="30" r:id="rId64"/>
    <sheet name="شفل22745" sheetId="27" r:id="rId65"/>
    <sheet name="96004 شفل " sheetId="136" r:id="rId66"/>
    <sheet name="بلدوزر8640" sheetId="32" r:id="rId67"/>
    <sheet name=" كريدر 50913" sheetId="22" r:id="rId68"/>
    <sheet name="بلدوزر 50826" sheetId="23" r:id="rId69"/>
    <sheet name="بلدوزر 8641" sheetId="121" r:id="rId70"/>
    <sheet name="جي سي بي 8627" sheetId="36" r:id="rId71"/>
    <sheet name="جي سي بي 57945" sheetId="28" r:id="rId72"/>
    <sheet name="كرين 50827" sheetId="38" r:id="rId73"/>
    <sheet name="كرين 673" sheetId="40" r:id="rId74"/>
    <sheet name=" كرين53035" sheetId="118" r:id="rId75"/>
    <sheet name="كرين 2884" sheetId="41" r:id="rId76"/>
    <sheet name="كرين 50313" sheetId="42" r:id="rId77"/>
    <sheet name="قلاب 98959" sheetId="54" r:id="rId78"/>
    <sheet name="قلاب 163283" sheetId="116" r:id="rId79"/>
    <sheet name="قلاب 163529" sheetId="115" r:id="rId80"/>
    <sheet name="قلاب 95072" sheetId="62" r:id="rId81"/>
    <sheet name="قلاب 66478" sheetId="64" r:id="rId82"/>
    <sheet name="قلاب 62041" sheetId="63" r:id="rId83"/>
    <sheet name="قلاب 84878" sheetId="61" r:id="rId84"/>
    <sheet name="قلاب 90733" sheetId="60" r:id="rId85"/>
    <sheet name="تريلة25791" sheetId="69" r:id="rId86"/>
    <sheet name="تريلة 153869" sheetId="73" r:id="rId87"/>
    <sheet name="تريلة 17040" sheetId="72" r:id="rId88"/>
    <sheet name="تريلة 16495" sheetId="70" r:id="rId89"/>
    <sheet name="22 L129192" sheetId="138" r:id="rId90"/>
    <sheet name="تريلة17586" sheetId="71" r:id="rId91"/>
    <sheet name="رافعة41772" sheetId="49" r:id="rId92"/>
    <sheet name="رافعة 37750" sheetId="47" r:id="rId93"/>
    <sheet name="رافعة41771" sheetId="48" r:id="rId94"/>
    <sheet name="رافعة جنية بدون رقم " sheetId="113" r:id="rId95"/>
    <sheet name="رافعة شوكية  JCB " sheetId="112" r:id="rId96"/>
    <sheet name="رافعة 83708" sheetId="37" r:id="rId97"/>
    <sheet name="رافعة 6765" sheetId="44" r:id="rId98"/>
    <sheet name="رافعة8490" sheetId="46" r:id="rId99"/>
    <sheet name="حادلة  بدون رقم" sheetId="53" r:id="rId100"/>
    <sheet name="حادلة 57947" sheetId="51" r:id="rId101"/>
    <sheet name="حادلة 57942" sheetId="50" r:id="rId102"/>
    <sheet name="حادلة 8621" sheetId="52" r:id="rId103"/>
    <sheet name="حادلة 2 طن " sheetId="122" r:id="rId104"/>
    <sheet name="دنبر 9579" sheetId="67" r:id="rId105"/>
    <sheet name="دنبر 8620" sheetId="68" r:id="rId106"/>
    <sheet name="دنبر 9470" sheetId="108" r:id="rId107"/>
    <sheet name="دنبر 9239" sheetId="107" r:id="rId108"/>
    <sheet name="تنكر" sheetId="58" r:id="rId109"/>
    <sheet name="تنكر62587" sheetId="56" r:id="rId110"/>
    <sheet name="تنكر58565" sheetId="57" r:id="rId111"/>
    <sheet name="مضخة12248" sheetId="9" r:id="rId112"/>
    <sheet name="مضخة 44915" sheetId="8" r:id="rId113"/>
    <sheet name="رافعة 8321" sheetId="45" r:id="rId114"/>
    <sheet name="بكب 98670" sheetId="88" r:id="rId115"/>
    <sheet name="بكب قمارة 65793" sheetId="111" r:id="rId116"/>
    <sheet name="حافلة 41695" sheetId="101" r:id="rId117"/>
    <sheet name="حافلة 26579" sheetId="102" r:id="rId118"/>
    <sheet name="قلاب 45750" sheetId="66" r:id="rId119"/>
    <sheet name="ماكنة طرق51679 " sheetId="79" r:id="rId120"/>
    <sheet name="كيا 39419" sheetId="91" r:id="rId121"/>
  </sheets>
  <definedNames>
    <definedName name="_xlnm._FilterDatabase" localSheetId="0" hidden="1">الاليات!$A$2:$L$138</definedName>
    <definedName name="_xlnm._FilterDatabase" localSheetId="78" hidden="1">'قلاب 163283'!$E$1:$E$57</definedName>
    <definedName name="_xlnm._FilterDatabase" localSheetId="77" hidden="1">'قلاب 98959'!$E$1:$E$35</definedName>
    <definedName name="_xlnm.Print_Area" localSheetId="10">'11 W 8011 تاهو'!$A$1:$K$54</definedName>
    <definedName name="_xlnm.Print_Area" localSheetId="0">الاليات!$A$1:$L$138</definedName>
  </definedNames>
  <calcPr calcId="191029"/>
</workbook>
</file>

<file path=xl/calcChain.xml><?xml version="1.0" encoding="utf-8"?>
<calcChain xmlns="http://schemas.openxmlformats.org/spreadsheetml/2006/main">
  <c r="G98" i="145" l="1"/>
  <c r="L73" i="2" s="1"/>
  <c r="F98" i="145"/>
  <c r="K73" i="2" s="1"/>
  <c r="G73" i="2"/>
  <c r="I5" i="82"/>
  <c r="A12" i="2" l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5" i="2" s="1"/>
  <c r="A36" i="2" s="1"/>
  <c r="A37" i="2" s="1"/>
  <c r="A38" i="2" s="1"/>
  <c r="A39" i="2" s="1"/>
  <c r="A40" i="2" s="1"/>
  <c r="A41" i="2" s="1"/>
  <c r="A42" i="2" s="1"/>
  <c r="A43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5" i="2" s="1"/>
  <c r="A76" i="2" s="1"/>
  <c r="A77" i="2" s="1"/>
  <c r="A78" i="2" s="1"/>
  <c r="A80" i="2" s="1"/>
  <c r="A81" i="2" s="1"/>
  <c r="A82" i="2" s="1"/>
  <c r="A83" i="2" s="1"/>
  <c r="A84" i="2" s="1"/>
  <c r="A85" i="2" s="1"/>
  <c r="A87" i="2" s="1"/>
  <c r="A88" i="2" s="1"/>
  <c r="A89" i="2" s="1"/>
  <c r="A90" i="2" s="1"/>
  <c r="A91" i="2" s="1"/>
  <c r="A92" i="2" s="1"/>
  <c r="A93" i="2" s="1"/>
  <c r="A94" i="2" s="1"/>
  <c r="A96" i="2" s="1"/>
  <c r="A97" i="2" s="1"/>
  <c r="A98" i="2" s="1"/>
  <c r="A99" i="2" s="1"/>
  <c r="A100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3" i="2" s="1"/>
  <c r="A114" i="2" s="1"/>
  <c r="A115" i="2" s="1"/>
  <c r="A116" i="2" s="1"/>
  <c r="A117" i="2" s="1"/>
  <c r="A119" i="2" s="1"/>
  <c r="A120" i="2" s="1"/>
  <c r="A121" i="2" s="1"/>
  <c r="A122" i="2" s="1"/>
  <c r="A124" i="2" s="1"/>
  <c r="A125" i="2" s="1"/>
  <c r="A126" i="2" s="1"/>
  <c r="A128" i="2" s="1"/>
  <c r="A129" i="2" s="1"/>
  <c r="A131" i="2" s="1"/>
  <c r="A132" i="2" s="1"/>
  <c r="A133" i="2" s="1"/>
  <c r="A134" i="2" s="1"/>
  <c r="A136" i="2" s="1"/>
  <c r="L42" i="2"/>
  <c r="K42" i="2"/>
  <c r="G98" i="144"/>
  <c r="L72" i="2" s="1"/>
  <c r="F98" i="144"/>
  <c r="K72" i="2" s="1"/>
  <c r="G98" i="143"/>
  <c r="L71" i="2" s="1"/>
  <c r="F98" i="143"/>
  <c r="K71" i="2" s="1"/>
  <c r="G98" i="140"/>
  <c r="F98" i="140"/>
  <c r="G98" i="141"/>
  <c r="L41" i="2" s="1"/>
  <c r="F98" i="141"/>
  <c r="K41" i="2" s="1"/>
  <c r="G98" i="142"/>
  <c r="F98" i="142"/>
  <c r="G98" i="139"/>
  <c r="L43" i="2" s="1"/>
  <c r="F98" i="139"/>
  <c r="K43" i="2" s="1"/>
  <c r="G69" i="2" l="1"/>
  <c r="G70" i="2"/>
  <c r="G71" i="2"/>
  <c r="G72" i="2"/>
  <c r="G85" i="2"/>
  <c r="G43" i="2"/>
  <c r="G42" i="2"/>
  <c r="G41" i="2"/>
  <c r="G111" i="2"/>
  <c r="G35" i="138"/>
  <c r="F35" i="138"/>
  <c r="G49" i="30"/>
  <c r="F49" i="30"/>
  <c r="G134" i="2"/>
  <c r="F32" i="2"/>
  <c r="F31" i="2"/>
  <c r="F30" i="2"/>
  <c r="F29" i="2"/>
  <c r="F28" i="2"/>
  <c r="F27" i="2"/>
  <c r="F26" i="2"/>
  <c r="F25" i="2"/>
  <c r="F24" i="2"/>
  <c r="F22" i="2"/>
  <c r="F18" i="2"/>
  <c r="F17" i="2"/>
  <c r="F16" i="2"/>
  <c r="F15" i="2"/>
  <c r="F14" i="2"/>
  <c r="F13" i="2"/>
  <c r="F12" i="2"/>
  <c r="F10" i="2"/>
  <c r="F9" i="2"/>
  <c r="F8" i="2"/>
  <c r="F7" i="2"/>
  <c r="F6" i="2"/>
  <c r="F4" i="2"/>
  <c r="G35" i="136" l="1"/>
  <c r="L69" i="2" s="1"/>
  <c r="F35" i="136"/>
  <c r="K69" i="2" s="1"/>
  <c r="G98" i="137"/>
  <c r="L65" i="2" s="1"/>
  <c r="F98" i="137"/>
  <c r="K65" i="2" s="1"/>
  <c r="G65" i="2"/>
  <c r="I5" i="136"/>
  <c r="F16" i="130"/>
  <c r="K32" i="2" s="1"/>
  <c r="G16" i="130"/>
  <c r="L32" i="2" s="1"/>
  <c r="G35" i="100" l="1"/>
  <c r="I5" i="100"/>
  <c r="J6" i="2" s="1"/>
  <c r="G47" i="57"/>
  <c r="F47" i="57"/>
  <c r="F36" i="53"/>
  <c r="G58" i="2"/>
  <c r="G27" i="12" l="1"/>
  <c r="F27" i="12"/>
  <c r="G32" i="11"/>
  <c r="F32" i="11"/>
  <c r="G31" i="126"/>
  <c r="F31" i="126"/>
  <c r="F48" i="20"/>
  <c r="G36" i="129"/>
  <c r="L48" i="2" s="1"/>
  <c r="F36" i="129"/>
  <c r="K48" i="2" s="1"/>
  <c r="G38" i="2"/>
  <c r="G39" i="2"/>
  <c r="G40" i="2"/>
  <c r="F32" i="3"/>
  <c r="G35" i="4"/>
  <c r="F35" i="4"/>
  <c r="G32" i="2"/>
  <c r="G31" i="2"/>
  <c r="G41" i="75"/>
  <c r="F41" i="75"/>
  <c r="G30" i="2"/>
  <c r="G47" i="109"/>
  <c r="F47" i="109"/>
  <c r="G33" i="2"/>
  <c r="G29" i="2"/>
  <c r="G28" i="2"/>
  <c r="G27" i="2"/>
  <c r="F48" i="86"/>
  <c r="G26" i="2"/>
  <c r="G25" i="2"/>
  <c r="F79" i="76"/>
  <c r="G67" i="78"/>
  <c r="F67" i="78"/>
  <c r="G19" i="2"/>
  <c r="G20" i="2"/>
  <c r="G21" i="2"/>
  <c r="G22" i="2"/>
  <c r="G100" i="135"/>
  <c r="L21" i="2" s="1"/>
  <c r="F100" i="135"/>
  <c r="K21" i="2" s="1"/>
  <c r="I5" i="135"/>
  <c r="G100" i="134"/>
  <c r="L20" i="2" s="1"/>
  <c r="F100" i="134"/>
  <c r="K20" i="2" s="1"/>
  <c r="I5" i="134"/>
  <c r="G100" i="133"/>
  <c r="L19" i="2" s="1"/>
  <c r="F100" i="133"/>
  <c r="K19" i="2" s="1"/>
  <c r="I5" i="133"/>
  <c r="G100" i="132"/>
  <c r="L17" i="2" s="1"/>
  <c r="F100" i="132"/>
  <c r="K17" i="2" s="1"/>
  <c r="G110" i="131"/>
  <c r="L18" i="2" s="1"/>
  <c r="F110" i="131"/>
  <c r="K18" i="2" s="1"/>
  <c r="G18" i="2"/>
  <c r="G17" i="2"/>
  <c r="G15" i="2" l="1"/>
  <c r="G16" i="2"/>
  <c r="G13" i="2"/>
  <c r="G14" i="2"/>
  <c r="J5" i="2"/>
  <c r="I5" i="119"/>
  <c r="I5" i="99"/>
  <c r="I5" i="127"/>
  <c r="J9" i="2" s="1"/>
  <c r="I5" i="128"/>
  <c r="J10" i="2" s="1"/>
  <c r="I5" i="74"/>
  <c r="I5" i="81"/>
  <c r="I5" i="105"/>
  <c r="I5" i="130"/>
  <c r="I5" i="132"/>
  <c r="I5" i="131"/>
  <c r="I5" i="109"/>
  <c r="I5" i="75"/>
  <c r="I5" i="76"/>
  <c r="I5" i="77"/>
  <c r="I5" i="78"/>
  <c r="I5" i="80"/>
  <c r="I5" i="86"/>
  <c r="I5" i="117"/>
  <c r="I5" i="90"/>
  <c r="I5" i="92"/>
  <c r="I5" i="93"/>
  <c r="I5" i="95"/>
  <c r="I5" i="96"/>
  <c r="J4" i="2" s="1"/>
  <c r="F5" i="119"/>
  <c r="G12" i="2"/>
  <c r="G10" i="2"/>
  <c r="F5" i="128"/>
  <c r="F5" i="127"/>
  <c r="G9" i="2"/>
  <c r="G8" i="2"/>
  <c r="G7" i="2"/>
  <c r="G6" i="2"/>
  <c r="F5" i="96"/>
  <c r="G4" i="2"/>
  <c r="G136" i="2"/>
  <c r="G133" i="2"/>
  <c r="G132" i="2"/>
  <c r="G131" i="2"/>
  <c r="G129" i="2"/>
  <c r="G128" i="2"/>
  <c r="G126" i="2"/>
  <c r="G125" i="2"/>
  <c r="G124" i="2"/>
  <c r="G119" i="2"/>
  <c r="G122" i="2"/>
  <c r="G121" i="2"/>
  <c r="G120" i="2"/>
  <c r="G117" i="2"/>
  <c r="G116" i="2"/>
  <c r="G113" i="2"/>
  <c r="G115" i="2"/>
  <c r="G114" i="2"/>
  <c r="G109" i="2"/>
  <c r="G108" i="2"/>
  <c r="G107" i="2"/>
  <c r="G106" i="2"/>
  <c r="G105" i="2"/>
  <c r="G104" i="2"/>
  <c r="G103" i="2"/>
  <c r="G102" i="2"/>
  <c r="G100" i="2"/>
  <c r="G99" i="2"/>
  <c r="G96" i="2"/>
  <c r="G98" i="2"/>
  <c r="G97" i="2"/>
  <c r="G94" i="2"/>
  <c r="G93" i="2"/>
  <c r="G92" i="2"/>
  <c r="G89" i="2"/>
  <c r="G88" i="2"/>
  <c r="G91" i="2"/>
  <c r="G90" i="2"/>
  <c r="G87" i="2"/>
  <c r="G84" i="2"/>
  <c r="G82" i="2"/>
  <c r="G83" i="2"/>
  <c r="G81" i="2"/>
  <c r="G80" i="2"/>
  <c r="G68" i="2"/>
  <c r="G110" i="2"/>
  <c r="G78" i="2"/>
  <c r="G77" i="2"/>
  <c r="G76" i="2"/>
  <c r="G75" i="2"/>
  <c r="G64" i="2"/>
  <c r="G59" i="2"/>
  <c r="G67" i="2"/>
  <c r="G61" i="2"/>
  <c r="G66" i="2"/>
  <c r="G62" i="2"/>
  <c r="G63" i="2"/>
  <c r="G60" i="2"/>
  <c r="G48" i="2"/>
  <c r="G51" i="2"/>
  <c r="G56" i="2"/>
  <c r="G52" i="2"/>
  <c r="G46" i="2"/>
  <c r="G53" i="2"/>
  <c r="G54" i="2"/>
  <c r="G49" i="2"/>
  <c r="G45" i="2"/>
  <c r="G47" i="2"/>
  <c r="G55" i="2"/>
  <c r="G50" i="2"/>
  <c r="G37" i="2"/>
  <c r="G36" i="2"/>
  <c r="G35" i="2"/>
  <c r="G24" i="2"/>
  <c r="F36" i="128"/>
  <c r="F36" i="127" l="1"/>
  <c r="K10" i="2" l="1"/>
  <c r="G36" i="128" l="1"/>
  <c r="L10" i="2" s="1"/>
  <c r="K9" i="2"/>
  <c r="G36" i="127"/>
  <c r="L9" i="2" s="1"/>
  <c r="F35" i="100"/>
  <c r="K51" i="2" l="1"/>
  <c r="L51" i="2"/>
  <c r="G31" i="125"/>
  <c r="F31" i="125"/>
  <c r="K40" i="2" s="1"/>
  <c r="L44" i="2" l="1"/>
  <c r="L40" i="2"/>
  <c r="G50" i="9"/>
  <c r="F50" i="9"/>
  <c r="F25" i="56"/>
  <c r="F33" i="44"/>
  <c r="F28" i="112"/>
  <c r="F32" i="69"/>
  <c r="F36" i="73"/>
  <c r="G71" i="60"/>
  <c r="F71" i="60"/>
  <c r="F59" i="63"/>
  <c r="F28" i="115"/>
  <c r="F60" i="24"/>
  <c r="F34" i="6" l="1"/>
  <c r="F49" i="77" l="1"/>
  <c r="G79" i="76"/>
  <c r="L26" i="2" s="1"/>
  <c r="G36" i="117" l="1"/>
  <c r="L16" i="2" s="1"/>
  <c r="F36" i="117"/>
  <c r="K16" i="2" s="1"/>
  <c r="G36" i="124" l="1"/>
  <c r="F36" i="124"/>
  <c r="G36" i="123"/>
  <c r="L61" i="2" s="1"/>
  <c r="F36" i="123"/>
  <c r="K61" i="2" s="1"/>
  <c r="G36" i="122"/>
  <c r="L117" i="2" s="1"/>
  <c r="F36" i="122"/>
  <c r="K117" i="2" s="1"/>
  <c r="G36" i="121"/>
  <c r="L78" i="2" s="1"/>
  <c r="F36" i="121"/>
  <c r="K78" i="2" s="1"/>
  <c r="G54" i="119"/>
  <c r="L7" i="2" s="1"/>
  <c r="F54" i="119"/>
  <c r="K8" i="2" s="1"/>
  <c r="G31" i="118"/>
  <c r="L82" i="2" s="1"/>
  <c r="F31" i="118"/>
  <c r="K82" i="2" s="1"/>
  <c r="G54" i="64" l="1"/>
  <c r="L91" i="2" s="1"/>
  <c r="F54" i="64" l="1"/>
  <c r="K91" i="2" s="1"/>
  <c r="F66" i="61" l="1"/>
  <c r="G32" i="116" l="1"/>
  <c r="L88" i="2" s="1"/>
  <c r="F32" i="116"/>
  <c r="K88" i="2" s="1"/>
  <c r="G28" i="115"/>
  <c r="L89" i="2" s="1"/>
  <c r="K89" i="2"/>
  <c r="G28" i="112" l="1"/>
  <c r="L106" i="2" s="1"/>
  <c r="K106" i="2"/>
  <c r="G35" i="113"/>
  <c r="L105" i="2" s="1"/>
  <c r="F35" i="113"/>
  <c r="K105" i="2" s="1"/>
  <c r="F35" i="111" l="1"/>
  <c r="G35" i="111"/>
  <c r="L30" i="2"/>
  <c r="K30" i="2"/>
  <c r="G36" i="108"/>
  <c r="L121" i="2" s="1"/>
  <c r="F36" i="108"/>
  <c r="K121" i="2" s="1"/>
  <c r="G36" i="107"/>
  <c r="L122" i="2" s="1"/>
  <c r="F36" i="107"/>
  <c r="K122" i="2" s="1"/>
  <c r="G35" i="106"/>
  <c r="L46" i="2" s="1"/>
  <c r="F35" i="106"/>
  <c r="K46" i="2" s="1"/>
  <c r="G34" i="105"/>
  <c r="L14" i="2" s="1"/>
  <c r="F34" i="105"/>
  <c r="K14" i="2" s="1"/>
  <c r="K49" i="2" l="1"/>
  <c r="K38" i="2"/>
  <c r="F28" i="5"/>
  <c r="K39" i="2" s="1"/>
  <c r="K35" i="2"/>
  <c r="F56" i="7"/>
  <c r="K36" i="2" s="1"/>
  <c r="F30" i="8"/>
  <c r="K129" i="2" s="1"/>
  <c r="K128" i="2"/>
  <c r="F35" i="10"/>
  <c r="K50" i="2" s="1"/>
  <c r="K52" i="2"/>
  <c r="K54" i="2"/>
  <c r="F37" i="14"/>
  <c r="K56" i="2" s="1"/>
  <c r="F26" i="16"/>
  <c r="F28" i="18"/>
  <c r="K45" i="2" s="1"/>
  <c r="F28" i="19"/>
  <c r="K53" i="2" s="1"/>
  <c r="F35" i="21"/>
  <c r="K47" i="2" s="1"/>
  <c r="F30" i="22"/>
  <c r="K76" i="2" s="1"/>
  <c r="F32" i="23"/>
  <c r="K77" i="2" s="1"/>
  <c r="K62" i="2"/>
  <c r="F34" i="25"/>
  <c r="K60" i="2" s="1"/>
  <c r="F52" i="26"/>
  <c r="K63" i="2" s="1"/>
  <c r="F60" i="27"/>
  <c r="K67" i="2" s="1"/>
  <c r="F26" i="28"/>
  <c r="K110" i="2" s="1"/>
  <c r="F25" i="29"/>
  <c r="K64" i="2" s="1"/>
  <c r="K66" i="2"/>
  <c r="F32" i="31"/>
  <c r="K59" i="2" s="1"/>
  <c r="F37" i="32"/>
  <c r="K75" i="2" s="1"/>
  <c r="F29" i="33"/>
  <c r="K58" i="2" s="1"/>
  <c r="F37" i="36"/>
  <c r="K68" i="2" s="1"/>
  <c r="F37" i="37"/>
  <c r="K107" i="2" s="1"/>
  <c r="F30" i="38"/>
  <c r="K80" i="2" s="1"/>
  <c r="F37" i="40"/>
  <c r="K81" i="2" s="1"/>
  <c r="F37" i="41"/>
  <c r="K83" i="2" s="1"/>
  <c r="F43" i="42"/>
  <c r="K84" i="2" s="1"/>
  <c r="K108" i="2"/>
  <c r="F37" i="45"/>
  <c r="K131" i="2" s="1"/>
  <c r="F37" i="46"/>
  <c r="K109" i="2" s="1"/>
  <c r="F25" i="47"/>
  <c r="K103" i="2" s="1"/>
  <c r="F37" i="48"/>
  <c r="K104" i="2" s="1"/>
  <c r="F36" i="49"/>
  <c r="K102" i="2" s="1"/>
  <c r="F31" i="50"/>
  <c r="K115" i="2" s="1"/>
  <c r="F32" i="51"/>
  <c r="F37" i="52"/>
  <c r="K116" i="2" s="1"/>
  <c r="K113" i="2"/>
  <c r="F31" i="54"/>
  <c r="K87" i="2" s="1"/>
  <c r="K125" i="2"/>
  <c r="K126" i="2"/>
  <c r="F37" i="58"/>
  <c r="K124" i="2" s="1"/>
  <c r="K94" i="2"/>
  <c r="K93" i="2"/>
  <c r="F38" i="62"/>
  <c r="K90" i="2" s="1"/>
  <c r="K92" i="2"/>
  <c r="F37" i="66"/>
  <c r="K134" i="2" s="1"/>
  <c r="F37" i="67"/>
  <c r="K119" i="2" s="1"/>
  <c r="F37" i="68"/>
  <c r="K120" i="2" s="1"/>
  <c r="K96" i="2"/>
  <c r="F35" i="70"/>
  <c r="K99" i="2" s="1"/>
  <c r="F26" i="71"/>
  <c r="K100" i="2" s="1"/>
  <c r="F49" i="72"/>
  <c r="K98" i="2" s="1"/>
  <c r="K97" i="2"/>
  <c r="F55" i="74"/>
  <c r="K12" i="2" s="1"/>
  <c r="K31" i="2"/>
  <c r="K26" i="2"/>
  <c r="K25" i="2"/>
  <c r="F34" i="79"/>
  <c r="K136" i="2" s="1"/>
  <c r="F24" i="80"/>
  <c r="K24" i="2" s="1"/>
  <c r="F36" i="81"/>
  <c r="K13" i="2" s="1"/>
  <c r="F51" i="82"/>
  <c r="K5" i="2" s="1"/>
  <c r="K28" i="2"/>
  <c r="F37" i="88"/>
  <c r="F37" i="90"/>
  <c r="K15" i="2" s="1"/>
  <c r="F35" i="91"/>
  <c r="F115" i="92"/>
  <c r="K29" i="2" s="1"/>
  <c r="F39" i="93"/>
  <c r="K22" i="2" s="1"/>
  <c r="F33" i="95"/>
  <c r="K33" i="2" s="1"/>
  <c r="F98" i="96"/>
  <c r="K4" i="2" s="1"/>
  <c r="F43" i="99"/>
  <c r="K7" i="2" s="1"/>
  <c r="K6" i="2"/>
  <c r="F37" i="101"/>
  <c r="K132" i="2" s="1"/>
  <c r="F37" i="102"/>
  <c r="K133" i="2" s="1"/>
  <c r="G28" i="5"/>
  <c r="L39" i="2" s="1"/>
  <c r="G34" i="6"/>
  <c r="L35" i="2" s="1"/>
  <c r="G56" i="7"/>
  <c r="L36" i="2" s="1"/>
  <c r="G30" i="8"/>
  <c r="L129" i="2" s="1"/>
  <c r="L128" i="2"/>
  <c r="G35" i="10"/>
  <c r="L50" i="2" s="1"/>
  <c r="L52" i="2"/>
  <c r="L54" i="2"/>
  <c r="G37" i="14"/>
  <c r="L56" i="2" s="1"/>
  <c r="G26" i="16"/>
  <c r="L55" i="2" s="1"/>
  <c r="G28" i="18"/>
  <c r="L45" i="2" s="1"/>
  <c r="G28" i="19"/>
  <c r="L53" i="2" s="1"/>
  <c r="G48" i="20"/>
  <c r="L49" i="2" s="1"/>
  <c r="G35" i="21"/>
  <c r="L47" i="2" s="1"/>
  <c r="G30" i="22"/>
  <c r="L76" i="2" s="1"/>
  <c r="G32" i="23"/>
  <c r="L77" i="2" s="1"/>
  <c r="G60" i="24"/>
  <c r="L62" i="2" s="1"/>
  <c r="G34" i="25"/>
  <c r="L60" i="2" s="1"/>
  <c r="G52" i="26"/>
  <c r="L63" i="2" s="1"/>
  <c r="G60" i="27"/>
  <c r="L67" i="2" s="1"/>
  <c r="G26" i="28"/>
  <c r="L110" i="2" s="1"/>
  <c r="G25" i="29"/>
  <c r="L64" i="2" s="1"/>
  <c r="L66" i="2"/>
  <c r="G32" i="31"/>
  <c r="L59" i="2" s="1"/>
  <c r="G37" i="32"/>
  <c r="L75" i="2" s="1"/>
  <c r="G29" i="33"/>
  <c r="L58" i="2" s="1"/>
  <c r="G37" i="36"/>
  <c r="L68" i="2" s="1"/>
  <c r="G37" i="37"/>
  <c r="L107" i="2" s="1"/>
  <c r="G30" i="38"/>
  <c r="L80" i="2" s="1"/>
  <c r="G37" i="40"/>
  <c r="L81" i="2" s="1"/>
  <c r="G37" i="41"/>
  <c r="L83" i="2" s="1"/>
  <c r="G43" i="42"/>
  <c r="L84" i="2" s="1"/>
  <c r="G33" i="44"/>
  <c r="L108" i="2" s="1"/>
  <c r="G37" i="45"/>
  <c r="L131" i="2" s="1"/>
  <c r="G37" i="46"/>
  <c r="L109" i="2" s="1"/>
  <c r="G25" i="47"/>
  <c r="L103" i="2" s="1"/>
  <c r="G37" i="48"/>
  <c r="L104" i="2" s="1"/>
  <c r="G36" i="49"/>
  <c r="L102" i="2" s="1"/>
  <c r="G31" i="50"/>
  <c r="L115" i="2" s="1"/>
  <c r="G32" i="51"/>
  <c r="L114" i="2" s="1"/>
  <c r="G37" i="52"/>
  <c r="L116" i="2" s="1"/>
  <c r="G36" i="53"/>
  <c r="L113" i="2" s="1"/>
  <c r="G31" i="54"/>
  <c r="L87" i="2" s="1"/>
  <c r="G25" i="56"/>
  <c r="L125" i="2" s="1"/>
  <c r="L126" i="2"/>
  <c r="G37" i="58"/>
  <c r="L124" i="2" s="1"/>
  <c r="L94" i="2"/>
  <c r="G66" i="61"/>
  <c r="L93" i="2" s="1"/>
  <c r="G38" i="62"/>
  <c r="L90" i="2" s="1"/>
  <c r="G59" i="63"/>
  <c r="L92" i="2" s="1"/>
  <c r="G37" i="66"/>
  <c r="L134" i="2" s="1"/>
  <c r="G37" i="67"/>
  <c r="L119" i="2" s="1"/>
  <c r="G37" i="68"/>
  <c r="L120" i="2" s="1"/>
  <c r="G32" i="69"/>
  <c r="L96" i="2" s="1"/>
  <c r="G35" i="70"/>
  <c r="L99" i="2" s="1"/>
  <c r="G26" i="71"/>
  <c r="L100" i="2" s="1"/>
  <c r="G49" i="72"/>
  <c r="L98" i="2" s="1"/>
  <c r="G36" i="73"/>
  <c r="L97" i="2" s="1"/>
  <c r="G55" i="74"/>
  <c r="L12" i="2" s="1"/>
  <c r="L31" i="2"/>
  <c r="G49" i="77"/>
  <c r="L27" i="2" s="1"/>
  <c r="L25" i="2"/>
  <c r="G34" i="79"/>
  <c r="L136" i="2" s="1"/>
  <c r="G24" i="80"/>
  <c r="L24" i="2" s="1"/>
  <c r="G36" i="81"/>
  <c r="L13" i="2" s="1"/>
  <c r="G51" i="82"/>
  <c r="L5" i="2" s="1"/>
  <c r="G48" i="86"/>
  <c r="L28" i="2" s="1"/>
  <c r="G37" i="88"/>
  <c r="G37" i="90"/>
  <c r="L15" i="2" s="1"/>
  <c r="G35" i="91"/>
  <c r="G115" i="92"/>
  <c r="L29" i="2" s="1"/>
  <c r="G39" i="93"/>
  <c r="L22" i="2" s="1"/>
  <c r="G33" i="95"/>
  <c r="L33" i="2" s="1"/>
  <c r="G98" i="96"/>
  <c r="L4" i="2" s="1"/>
  <c r="G43" i="99"/>
  <c r="L8" i="2" s="1"/>
  <c r="L6" i="2"/>
  <c r="G37" i="101"/>
  <c r="L132" i="2" s="1"/>
  <c r="G37" i="102"/>
  <c r="L133" i="2" s="1"/>
  <c r="K114" i="2" l="1"/>
  <c r="L37" i="2"/>
  <c r="K37" i="2"/>
  <c r="K27" i="2"/>
  <c r="K55" i="2"/>
  <c r="G32" i="3"/>
  <c r="L38" i="2" s="1"/>
  <c r="K138" i="2" l="1"/>
  <c r="L138" i="2"/>
  <c r="A36" i="100"/>
  <c r="A36" i="136"/>
</calcChain>
</file>

<file path=xl/sharedStrings.xml><?xml version="1.0" encoding="utf-8"?>
<sst xmlns="http://schemas.openxmlformats.org/spreadsheetml/2006/main" count="6095" uniqueCount="1294">
  <si>
    <t>مسؤول الصيانه</t>
  </si>
  <si>
    <t>تفاصيل الصيانه</t>
  </si>
  <si>
    <t>تاريخ</t>
  </si>
  <si>
    <t>نوع الاليه</t>
  </si>
  <si>
    <t>المبلغ $</t>
  </si>
  <si>
    <t>المبلغ دينار</t>
  </si>
  <si>
    <t>اسم السائق</t>
  </si>
  <si>
    <t xml:space="preserve">رقمها </t>
  </si>
  <si>
    <t>الموديل</t>
  </si>
  <si>
    <t>#</t>
  </si>
  <si>
    <t>صيانة الاليات</t>
  </si>
  <si>
    <t>خباطة كونكريت - مان</t>
  </si>
  <si>
    <t>خباطة كونكريت -سكانيا</t>
  </si>
  <si>
    <t>مضخة كونكريت - مرسيدس</t>
  </si>
  <si>
    <t xml:space="preserve">حفارة كوماتسو- 27pc صغيره </t>
  </si>
  <si>
    <t>حفارة فولفو 58</t>
  </si>
  <si>
    <t>حفارة كوماتسو 210</t>
  </si>
  <si>
    <t>حفارة هيتاشى</t>
  </si>
  <si>
    <t xml:space="preserve">حفاره كوماتسو </t>
  </si>
  <si>
    <t xml:space="preserve">حفارة كوماتسو 290 </t>
  </si>
  <si>
    <t>حفارة هيتاشي 330</t>
  </si>
  <si>
    <t>حفارة هياشي 350</t>
  </si>
  <si>
    <t>حفارة هياتشي 210</t>
  </si>
  <si>
    <t>كريدر - كتربلر</t>
  </si>
  <si>
    <t xml:space="preserve">بلدوزر - كتربلر </t>
  </si>
  <si>
    <t>شفل كاوساكي 90z</t>
  </si>
  <si>
    <t xml:space="preserve">شفل بوب كات </t>
  </si>
  <si>
    <t>شفل كاوساكي 85z</t>
  </si>
  <si>
    <t xml:space="preserve">شفل كاوساكي80 </t>
  </si>
  <si>
    <t>شفل كاوساكي 85</t>
  </si>
  <si>
    <t xml:space="preserve">شفل بوب كات S450 </t>
  </si>
  <si>
    <t>رافعة شوكية كوماتسو</t>
  </si>
  <si>
    <t>كرين كروف 50 طن</t>
  </si>
  <si>
    <t>كرين  اج بى</t>
  </si>
  <si>
    <t>كرين  هينو</t>
  </si>
  <si>
    <t>كرين   تادانو</t>
  </si>
  <si>
    <t>رافعة ميتسوبيشى مع سلة هيدروليكية</t>
  </si>
  <si>
    <t>رافعة تويوتا مع سلة هيدروليكية</t>
  </si>
  <si>
    <t xml:space="preserve">رافعة شوكية </t>
  </si>
  <si>
    <t xml:space="preserve">رافعة شوكية  صيني </t>
  </si>
  <si>
    <t>رافعه JCB 535</t>
  </si>
  <si>
    <t>رافعه JCB 536</t>
  </si>
  <si>
    <t>حادلة بوماك 212</t>
  </si>
  <si>
    <t>حادلة بوماك حديدية</t>
  </si>
  <si>
    <t xml:space="preserve">حادلة بوماك 212 </t>
  </si>
  <si>
    <t xml:space="preserve">حادلة بوماك </t>
  </si>
  <si>
    <t>قلاب سكس ويل مان/ راس تريله</t>
  </si>
  <si>
    <t>تانكر دبل كابينة سكانيا/ ابيض</t>
  </si>
  <si>
    <t>تانكر دبل كابينة سكانيا</t>
  </si>
  <si>
    <t xml:space="preserve">تانكر اكتروز </t>
  </si>
  <si>
    <t>قلاب مان سكس ويل / نساف</t>
  </si>
  <si>
    <t>قلاب مان سكس ويل/ نساف</t>
  </si>
  <si>
    <t>قلاب مان سكس ويل / سبترا</t>
  </si>
  <si>
    <t>قلاب مان سكس ويل</t>
  </si>
  <si>
    <t>قلاب سكانيا</t>
  </si>
  <si>
    <t xml:space="preserve">دامبر قلاب </t>
  </si>
  <si>
    <t>تريله الكتروز</t>
  </si>
  <si>
    <t>تريله لودر سكانيا- سكس ويل</t>
  </si>
  <si>
    <t>تريله سكانيا- لون ابيض</t>
  </si>
  <si>
    <t>بكب تويوتا دبل كابينة</t>
  </si>
  <si>
    <t xml:space="preserve">كيا قمارة </t>
  </si>
  <si>
    <t xml:space="preserve">كيا دبل قمارة </t>
  </si>
  <si>
    <t>بكب كيا/ دبل كابينه</t>
  </si>
  <si>
    <t>هونداي توسان ستيشن</t>
  </si>
  <si>
    <t>تويوتا برادو  ستيشن</t>
  </si>
  <si>
    <t>تاهو شوفرليت</t>
  </si>
  <si>
    <t>حافله تويوتا 29 راكب</t>
  </si>
  <si>
    <t>حافلة هونداي 41 راكب</t>
  </si>
  <si>
    <t xml:space="preserve">المالك </t>
  </si>
  <si>
    <t xml:space="preserve">صلاحية السنوية </t>
  </si>
  <si>
    <t>شركة القبس</t>
  </si>
  <si>
    <t>خالد علي صالح</t>
  </si>
  <si>
    <t>سمو بغداد</t>
  </si>
  <si>
    <t xml:space="preserve">هيثم قاسم </t>
  </si>
  <si>
    <t>عبدالحسين محمود احمد</t>
  </si>
  <si>
    <t>علي غازي</t>
  </si>
  <si>
    <t xml:space="preserve">شركة سمو بغداد </t>
  </si>
  <si>
    <t>جوهرة الفنجان</t>
  </si>
  <si>
    <t>بغداد 12248</t>
  </si>
  <si>
    <t>9315 سليمانية</t>
  </si>
  <si>
    <t>8305 أربيل</t>
  </si>
  <si>
    <t>9540 سليمانية</t>
  </si>
  <si>
    <t xml:space="preserve">9499 سليمانية </t>
  </si>
  <si>
    <t>بغداد 57946</t>
  </si>
  <si>
    <t xml:space="preserve">8664 سليمانية </t>
  </si>
  <si>
    <t xml:space="preserve">9595 سليمانية </t>
  </si>
  <si>
    <t xml:space="preserve">41771 - كاتي سليمانبية </t>
  </si>
  <si>
    <t xml:space="preserve">41772 - كاتي سليمانبية </t>
  </si>
  <si>
    <t>بدون تسجيل</t>
  </si>
  <si>
    <t>بدون رقم</t>
  </si>
  <si>
    <t>بصرة  9364</t>
  </si>
  <si>
    <t>بغداد 39419</t>
  </si>
  <si>
    <t>بيك اب</t>
  </si>
  <si>
    <t>رقم الوصل</t>
  </si>
  <si>
    <t xml:space="preserve"> </t>
  </si>
  <si>
    <t xml:space="preserve">العداد  السابق </t>
  </si>
  <si>
    <t>العداد النهائي :</t>
  </si>
  <si>
    <t xml:space="preserve">المجموع الكلي </t>
  </si>
  <si>
    <t xml:space="preserve">المجموع  الكلي </t>
  </si>
  <si>
    <t>رقمها :</t>
  </si>
  <si>
    <t xml:space="preserve">الموقع: </t>
  </si>
  <si>
    <t xml:space="preserve">اضافة /هايدوليك لتر </t>
  </si>
  <si>
    <t xml:space="preserve">رجوع  الى جدول الاليات </t>
  </si>
  <si>
    <t>هيثم قاسم</t>
  </si>
  <si>
    <t>خالد ياسين</t>
  </si>
  <si>
    <t>شاكر محمود</t>
  </si>
  <si>
    <t>المقر</t>
  </si>
  <si>
    <t xml:space="preserve">معمل الثرمستون /بابل </t>
  </si>
  <si>
    <t>أبو مروان</t>
  </si>
  <si>
    <t>م.مروان مصطفى</t>
  </si>
  <si>
    <t>تصليح صدر</t>
  </si>
  <si>
    <t>محمد فوزي</t>
  </si>
  <si>
    <t>بانزين + غسل</t>
  </si>
  <si>
    <t>احمد عبدالرزاق</t>
  </si>
  <si>
    <t>جامه</t>
  </si>
  <si>
    <t>إطارات</t>
  </si>
  <si>
    <t>زيت</t>
  </si>
  <si>
    <t>عبد السلام حمزة</t>
  </si>
  <si>
    <t>عبدالسلام حمزة</t>
  </si>
  <si>
    <t>تبديل دهن + فلتر دهن + فلتر كاز</t>
  </si>
  <si>
    <t>حسن محمود عيادة</t>
  </si>
  <si>
    <t>هيلان ابراهيم</t>
  </si>
  <si>
    <t>ابراهيم خليفة</t>
  </si>
  <si>
    <t xml:space="preserve">هيلان ابراهيم </t>
  </si>
  <si>
    <t>عبدالقادر حسين</t>
  </si>
  <si>
    <t>صيانه عامه</t>
  </si>
  <si>
    <t>صيانة باسكت</t>
  </si>
  <si>
    <t>تبديل دهن + فلاتر</t>
  </si>
  <si>
    <t>تبديل دهن محرك</t>
  </si>
  <si>
    <t xml:space="preserve">شراء سلف </t>
  </si>
  <si>
    <t xml:space="preserve">يوسف حسام </t>
  </si>
  <si>
    <t>يوسف حسام</t>
  </si>
  <si>
    <t>تصليح سلف</t>
  </si>
  <si>
    <t>عبدالمهيمن</t>
  </si>
  <si>
    <t>غسل</t>
  </si>
  <si>
    <t>صيانه</t>
  </si>
  <si>
    <t>عمر صباح</t>
  </si>
  <si>
    <t xml:space="preserve">38 لتر </t>
  </si>
  <si>
    <t>غزوان كريم</t>
  </si>
  <si>
    <t xml:space="preserve">ابراهيم خليفة </t>
  </si>
  <si>
    <t>عمر جواد</t>
  </si>
  <si>
    <t xml:space="preserve">تبديل دهن محرك + فلتر دهن </t>
  </si>
  <si>
    <t>ابومروان</t>
  </si>
  <si>
    <t>الموصل</t>
  </si>
  <si>
    <t>دهن + فلتر</t>
  </si>
  <si>
    <t>بطاريه</t>
  </si>
  <si>
    <t>تجفيت محرك</t>
  </si>
  <si>
    <t>تصليح تبريد</t>
  </si>
  <si>
    <t xml:space="preserve">6943 سليمانية </t>
  </si>
  <si>
    <t>ماكنة طرق ركائز</t>
  </si>
  <si>
    <t xml:space="preserve">شركة  تقنيات التربة </t>
  </si>
  <si>
    <t>22/10/2023</t>
  </si>
  <si>
    <t xml:space="preserve">بدون سنوية </t>
  </si>
  <si>
    <t xml:space="preserve">غزوان كريم </t>
  </si>
  <si>
    <t xml:space="preserve">خالد علي </t>
  </si>
  <si>
    <t xml:space="preserve">ماكنة طرق </t>
  </si>
  <si>
    <t xml:space="preserve">شركة تقنيات التربة </t>
  </si>
  <si>
    <t>بكب كيا قمارة</t>
  </si>
  <si>
    <t xml:space="preserve">الإدارة </t>
  </si>
  <si>
    <t>رافعة جنية</t>
  </si>
  <si>
    <t>رافعة JCB 540</t>
  </si>
  <si>
    <t xml:space="preserve">موقع الاليات </t>
  </si>
  <si>
    <t xml:space="preserve">حادلة بوماك 212اضلاف </t>
  </si>
  <si>
    <t>شفل كاوسكي  70Z</t>
  </si>
  <si>
    <t xml:space="preserve">موقع الالياات  التي تعمل خارج الشركة </t>
  </si>
  <si>
    <t xml:space="preserve">حسن محمود </t>
  </si>
  <si>
    <t>مروان محمد امين</t>
  </si>
  <si>
    <t>دهن</t>
  </si>
  <si>
    <t>صيانه + بانزين</t>
  </si>
  <si>
    <t>شوته</t>
  </si>
  <si>
    <t>تصليح داينمو</t>
  </si>
  <si>
    <t>بنجر</t>
  </si>
  <si>
    <t>رافعه جنيه</t>
  </si>
  <si>
    <t>فلتر دهن</t>
  </si>
  <si>
    <t>قيد رقم 83</t>
  </si>
  <si>
    <t>صيانه + وقود</t>
  </si>
  <si>
    <t>صيانة شفل</t>
  </si>
  <si>
    <t>بطاريات</t>
  </si>
  <si>
    <t xml:space="preserve">بدون رقم </t>
  </si>
  <si>
    <t xml:space="preserve">قلاب سكانيا </t>
  </si>
  <si>
    <t xml:space="preserve">حادلة 2 طن </t>
  </si>
  <si>
    <t>بلدوزر كتر بلر دي 8</t>
  </si>
  <si>
    <t xml:space="preserve">حفار كماتسو صغير </t>
  </si>
  <si>
    <t>مازن سامي</t>
  </si>
  <si>
    <t>محمد عبدالله</t>
  </si>
  <si>
    <t xml:space="preserve">تصليح سلف </t>
  </si>
  <si>
    <t>علي ابراهيم</t>
  </si>
  <si>
    <t>تصليح</t>
  </si>
  <si>
    <t>دهن+غسل+بنزين</t>
  </si>
  <si>
    <t>فلتر كاز</t>
  </si>
  <si>
    <t>تجديد سنويه</t>
  </si>
  <si>
    <t>تصليح + بانزين</t>
  </si>
  <si>
    <t>علي نادي</t>
  </si>
  <si>
    <t>صيانه+دهن وفلتر+بنزين</t>
  </si>
  <si>
    <t>محمد نادي</t>
  </si>
  <si>
    <t>كتف داينمو</t>
  </si>
  <si>
    <t>عكس</t>
  </si>
  <si>
    <t>ويلات</t>
  </si>
  <si>
    <t>تركي علي صالح</t>
  </si>
  <si>
    <t>كرين هونداي</t>
  </si>
  <si>
    <t xml:space="preserve">تركي  القيسي </t>
  </si>
  <si>
    <t>زيوت + إطارات</t>
  </si>
  <si>
    <t>فلتر دهن, سي اويل , فلتر كاز , هيدروليم</t>
  </si>
  <si>
    <t xml:space="preserve">صوندة كتان , قفيص , زبانة </t>
  </si>
  <si>
    <t>شراء ستدات كور + اجور فتح وتجفيت وشد محرك شفل</t>
  </si>
  <si>
    <t>تصليح راديتر ماء شفل</t>
  </si>
  <si>
    <t>محمد عبدالله كردي</t>
  </si>
  <si>
    <t xml:space="preserve">اجور حداد فتح + شد سبعة سيارة , عمل تورنة توسعة فتحات براغي سبعة , شراء براغي , حاسبة </t>
  </si>
  <si>
    <t>تبديل اطارات جديدة + اصلاح اطار ركعة الماني</t>
  </si>
  <si>
    <t xml:space="preserve">شراء + تبديل جوبلس </t>
  </si>
  <si>
    <t>تدوير اطارات سيارة</t>
  </si>
  <si>
    <t xml:space="preserve">شراء صوندة + كبس رأس صوندة جك رئيسي , اجور فيتر تبديل دبل قمارة </t>
  </si>
  <si>
    <t xml:space="preserve">عمل تورنة براغي كاردن , بانزين , براغي + سلكون , حاسبة , غسل سيارة </t>
  </si>
  <si>
    <t xml:space="preserve">جامة لايت + كلوب , جبنة كير , بخاخ زنجار , دهن باور , واتر بم بومة , لاستيك واتر بمب , اجور عمل </t>
  </si>
  <si>
    <t xml:space="preserve">سي أويل + ماء راديتر </t>
  </si>
  <si>
    <t xml:space="preserve">بنز خلفي , عمل تصفير فلنجة , جبنة ويل خلفي صغيرة , كريز , اجرة فيتر </t>
  </si>
  <si>
    <t>تبدل اطارات + ولف اطار</t>
  </si>
  <si>
    <t xml:space="preserve">اجور تبدل دهن , تدوير اطارت , بلنص </t>
  </si>
  <si>
    <t>تصليح شوتة خباطة</t>
  </si>
  <si>
    <t xml:space="preserve">شراء + تحوير سلف , تصليح سلف قديم </t>
  </si>
  <si>
    <t>بنزين</t>
  </si>
  <si>
    <t>17/1/2023</t>
  </si>
  <si>
    <t>غرامه مروريه</t>
  </si>
  <si>
    <t>بخاخ تبريد , فريز تبريد , غاز فحص , اجور عمل</t>
  </si>
  <si>
    <t>تبديل روس وكبس صوندة</t>
  </si>
  <si>
    <t xml:space="preserve">بطل تبريد , قايش + رولة , غاز فحص </t>
  </si>
  <si>
    <t>تعديل ميزانية + بلنص + تدوير اطارات</t>
  </si>
  <si>
    <t xml:space="preserve">تبديل عنبار كلج </t>
  </si>
  <si>
    <t>هورن 12 فولت</t>
  </si>
  <si>
    <t xml:space="preserve">تصليح داينمو </t>
  </si>
  <si>
    <t xml:space="preserve">بطل تبريد , ماطور بنكة , غاز , قايش , بخاخ , اجور عمل فيتر </t>
  </si>
  <si>
    <t>دهن محرك ,اجور عمل</t>
  </si>
  <si>
    <t xml:space="preserve">تبديل دهن , فلتر دهن </t>
  </si>
  <si>
    <t>شراء صوندة كبس صوندة</t>
  </si>
  <si>
    <t>صوندة كبس صوندة</t>
  </si>
  <si>
    <t xml:space="preserve">دسك امامي , بولبرن كير , جبنة امامي </t>
  </si>
  <si>
    <t>شراء داينمو جديد , اجور عمل</t>
  </si>
  <si>
    <t>دشلي , بلاتين , فحمات , اجور عمل</t>
  </si>
  <si>
    <t>شريط ستيرن , هورنات, كتف هورن , اجور عمل</t>
  </si>
  <si>
    <t xml:space="preserve">اجور كهربائي تصليح رافعة </t>
  </si>
  <si>
    <t>واتربم مان</t>
  </si>
  <si>
    <t>اضافة غاز تبريد + تبديل ولف</t>
  </si>
  <si>
    <t>كبس صوندات حفارة</t>
  </si>
  <si>
    <t xml:space="preserve">تبديل دهن + فلتر </t>
  </si>
  <si>
    <t>6-8-22023</t>
  </si>
  <si>
    <t xml:space="preserve">بولبرن اطار امامي </t>
  </si>
  <si>
    <t xml:space="preserve">تبديل دهن , فلتر , صبغ دعامية خلفية </t>
  </si>
  <si>
    <t>شراء جوين راديتر , شراء دسكات اصلي , تصليح صدر سيارة</t>
  </si>
  <si>
    <t xml:space="preserve">تصليح صدر سيارة </t>
  </si>
  <si>
    <t xml:space="preserve">قرص + عينة + بولبرن </t>
  </si>
  <si>
    <t>قوايش + رولة + تصفير فلنجة + دسكات + اجور عمل</t>
  </si>
  <si>
    <t xml:space="preserve">شراء تخم جاملغات </t>
  </si>
  <si>
    <t>تصليح كهربائيات  , اجور نقل الكهربائي</t>
  </si>
  <si>
    <t xml:space="preserve">تصليح كهربائيات مان </t>
  </si>
  <si>
    <t xml:space="preserve">تبديل دهن , فلتر </t>
  </si>
  <si>
    <t>ت</t>
  </si>
  <si>
    <t>23/2/2023</t>
  </si>
  <si>
    <t>25/2/2023</t>
  </si>
  <si>
    <t xml:space="preserve">تصليح   </t>
  </si>
  <si>
    <t>اطارات</t>
  </si>
  <si>
    <t>تصليح + بنزين</t>
  </si>
  <si>
    <t>قيد 42</t>
  </si>
  <si>
    <t>قيد42</t>
  </si>
  <si>
    <t>تصليح بم</t>
  </si>
  <si>
    <t>تبديل تاروسة هواء</t>
  </si>
  <si>
    <t>قيد 43</t>
  </si>
  <si>
    <t>18/2/2023</t>
  </si>
  <si>
    <t>20/2/2023</t>
  </si>
  <si>
    <t>مواد</t>
  </si>
  <si>
    <t>24/2/2024</t>
  </si>
  <si>
    <t>26/2/2023</t>
  </si>
  <si>
    <t>26/2/2024</t>
  </si>
  <si>
    <t xml:space="preserve">قيد42 </t>
  </si>
  <si>
    <t>28/2/2023</t>
  </si>
  <si>
    <t>جامه اماميه</t>
  </si>
  <si>
    <t>تصليح ريمونت</t>
  </si>
  <si>
    <t>دهن و فلتر</t>
  </si>
  <si>
    <t>22/3/2023</t>
  </si>
  <si>
    <t>ابو مروان</t>
  </si>
  <si>
    <t>23/3/2023</t>
  </si>
  <si>
    <t>غرامه+غسل+بنزين</t>
  </si>
  <si>
    <t>26/3/2023</t>
  </si>
  <si>
    <t>مصاريف صيانه</t>
  </si>
  <si>
    <t>سرفة كلج</t>
  </si>
  <si>
    <t>مضخة كونكريت - مرسيدس كرواتي</t>
  </si>
  <si>
    <t xml:space="preserve">بطارية جهاز ايلكا </t>
  </si>
  <si>
    <t>فراك بريك</t>
  </si>
  <si>
    <t>ادوات احتياطيه</t>
  </si>
  <si>
    <t>اطارات+بنزين</t>
  </si>
  <si>
    <t>فلاتر هواء+بنزين</t>
  </si>
  <si>
    <t>صبيانه</t>
  </si>
  <si>
    <t>13/4/2023</t>
  </si>
  <si>
    <t>قيد 53</t>
  </si>
  <si>
    <t xml:space="preserve">تصليح </t>
  </si>
  <si>
    <t>بلك حماوه + اجور عمل</t>
  </si>
  <si>
    <t>فيت بم</t>
  </si>
  <si>
    <t>فلتر ورقي</t>
  </si>
  <si>
    <t>تبديل واشرات سرفه</t>
  </si>
  <si>
    <t>شخاطة كير</t>
  </si>
  <si>
    <t>تحويل باسم الشركه</t>
  </si>
  <si>
    <t>قيد 69</t>
  </si>
  <si>
    <t>صيانه + بنزين</t>
  </si>
  <si>
    <t>27/5/2023</t>
  </si>
  <si>
    <t>تبديل كاردن</t>
  </si>
  <si>
    <t>تجفيت جك</t>
  </si>
  <si>
    <t>17/5/2023</t>
  </si>
  <si>
    <t>دشلي سلف</t>
  </si>
  <si>
    <t>براد</t>
  </si>
  <si>
    <t>دكمة جام</t>
  </si>
  <si>
    <t>دشلي فلاوين</t>
  </si>
  <si>
    <t>زنجيل + روله اعلى</t>
  </si>
  <si>
    <t>درع جام امامي</t>
  </si>
  <si>
    <t>قيد84</t>
  </si>
  <si>
    <t>21/6/2023</t>
  </si>
  <si>
    <t>قاعدة صياد</t>
  </si>
  <si>
    <t>مراة جانبيه</t>
  </si>
  <si>
    <t>تحويل سياره</t>
  </si>
  <si>
    <t>تجفيت</t>
  </si>
  <si>
    <t>انجكتر</t>
  </si>
  <si>
    <t>تخم واشر</t>
  </si>
  <si>
    <t>زيت و فلتر</t>
  </si>
  <si>
    <t>راديتر</t>
  </si>
  <si>
    <t>بولبرن</t>
  </si>
  <si>
    <t>تيب</t>
  </si>
  <si>
    <t>صيانة</t>
  </si>
  <si>
    <t>قيد 97</t>
  </si>
  <si>
    <t>دوشمة</t>
  </si>
  <si>
    <t>صيانة تبريد</t>
  </si>
  <si>
    <t>قيد 98</t>
  </si>
  <si>
    <t>23/7/2023</t>
  </si>
  <si>
    <t>قيد 102</t>
  </si>
  <si>
    <t xml:space="preserve">صيانه  </t>
  </si>
  <si>
    <t>30/7/2023</t>
  </si>
  <si>
    <t>قيد 105</t>
  </si>
  <si>
    <t>تبديل كلاتور</t>
  </si>
  <si>
    <t>جوزة حماوه</t>
  </si>
  <si>
    <t>تحويل ملكيه</t>
  </si>
  <si>
    <t>قيد 107</t>
  </si>
  <si>
    <t>13/8/2023</t>
  </si>
  <si>
    <t>22/8/2023</t>
  </si>
  <si>
    <t>29/8/2023</t>
  </si>
  <si>
    <t>16/9/2023</t>
  </si>
  <si>
    <t>واير ستيل</t>
  </si>
  <si>
    <t>طوق تركي</t>
  </si>
  <si>
    <t>قيد 122</t>
  </si>
  <si>
    <t>23/9/2023</t>
  </si>
  <si>
    <t>تصليح ابواب + جوبلس</t>
  </si>
  <si>
    <t>شحن غاز</t>
  </si>
  <si>
    <t>كصبه + فلاتر دهن وكاز</t>
  </si>
  <si>
    <t>صوندات + فلس</t>
  </si>
  <si>
    <t>شوته مربعه</t>
  </si>
  <si>
    <t>بم + عمل صالنصه</t>
  </si>
  <si>
    <t>جك رفع</t>
  </si>
  <si>
    <t>قيد 128</t>
  </si>
  <si>
    <t>بنجر + 2 كصبه</t>
  </si>
  <si>
    <t>دهن + غسل</t>
  </si>
  <si>
    <t>واتر بم</t>
  </si>
  <si>
    <t>قيد 131</t>
  </si>
  <si>
    <t>بنكة تبريد</t>
  </si>
  <si>
    <t>كصبة تاير</t>
  </si>
  <si>
    <t>24/10/2023</t>
  </si>
  <si>
    <t>31/10/2023</t>
  </si>
  <si>
    <t>قيد 134</t>
  </si>
  <si>
    <t>اطارات + غسل + بنزين</t>
  </si>
  <si>
    <t>قيد 135</t>
  </si>
  <si>
    <t>تصليح رباط + اكسل</t>
  </si>
  <si>
    <t>تصليح غاز</t>
  </si>
  <si>
    <t>براغي صالنصه</t>
  </si>
  <si>
    <t>دسكات</t>
  </si>
  <si>
    <t>قيد 138</t>
  </si>
  <si>
    <t>13/11/2023</t>
  </si>
  <si>
    <t>15/11/2023</t>
  </si>
  <si>
    <t>19/11/2023</t>
  </si>
  <si>
    <t>20/11/2023</t>
  </si>
  <si>
    <t>كت كلج</t>
  </si>
  <si>
    <t>ماطور كاز</t>
  </si>
  <si>
    <t>قيد 144</t>
  </si>
  <si>
    <t>تجفيت سلف</t>
  </si>
  <si>
    <t>شيال</t>
  </si>
  <si>
    <t>تبديل تايرات و قصبه</t>
  </si>
  <si>
    <t>21/11/2023</t>
  </si>
  <si>
    <t>تغيير بيانات</t>
  </si>
  <si>
    <t>28/11/2023</t>
  </si>
  <si>
    <t>تانكر دبل كابينة سكانيا اصفر</t>
  </si>
  <si>
    <t>ماء راديتر</t>
  </si>
  <si>
    <t>قيد 158</t>
  </si>
  <si>
    <t>فلاتر و تشحيم</t>
  </si>
  <si>
    <t>رباط + لاستيك رباط</t>
  </si>
  <si>
    <t>قيد 160</t>
  </si>
  <si>
    <t>تصليح سرفه</t>
  </si>
  <si>
    <t>19/12/2023</t>
  </si>
  <si>
    <t>20/12/2023</t>
  </si>
  <si>
    <t>كرين  هينو 3 طن</t>
  </si>
  <si>
    <t>اسيمكو اسباني</t>
  </si>
  <si>
    <t>23/12/2023</t>
  </si>
  <si>
    <t>قيد 162</t>
  </si>
  <si>
    <t>26/12/2023</t>
  </si>
  <si>
    <t>غسل + بنزين</t>
  </si>
  <si>
    <t>تعديل بيانات المركبه</t>
  </si>
  <si>
    <t>حفاره كوماتسو 240</t>
  </si>
  <si>
    <t>كويل + سبول</t>
  </si>
  <si>
    <t>13/1/2024</t>
  </si>
  <si>
    <t xml:space="preserve">فلتر   </t>
  </si>
  <si>
    <t>قيد 5</t>
  </si>
  <si>
    <t>16/1/2024</t>
  </si>
  <si>
    <t>تصليح كير+كهربائيات</t>
  </si>
  <si>
    <t>كهربائيات</t>
  </si>
  <si>
    <t>27/1/2024</t>
  </si>
  <si>
    <t xml:space="preserve">غرامه   </t>
  </si>
  <si>
    <t>28/1/2024</t>
  </si>
  <si>
    <t>29/1/2024</t>
  </si>
  <si>
    <t>غرامه</t>
  </si>
  <si>
    <t>31/1/2024</t>
  </si>
  <si>
    <t>جوزة ركليتر</t>
  </si>
  <si>
    <t>قيد 8</t>
  </si>
  <si>
    <t>قيد 9</t>
  </si>
  <si>
    <t>قيد 15</t>
  </si>
  <si>
    <t>19/2/2024</t>
  </si>
  <si>
    <t>قيد 12</t>
  </si>
  <si>
    <t>22/2/2024</t>
  </si>
  <si>
    <t>زيوت +اجور كهربائي</t>
  </si>
  <si>
    <t>قيد 13</t>
  </si>
  <si>
    <t>بانزين + تصليح بريك</t>
  </si>
  <si>
    <t>25/3/2024</t>
  </si>
  <si>
    <t>ابر نوزل+ولفات انجكتر</t>
  </si>
  <si>
    <t>كيلون جامه عدد2</t>
  </si>
  <si>
    <t>غسل + بنجر+ ماسحات</t>
  </si>
  <si>
    <t>سيت ولف</t>
  </si>
  <si>
    <t>نتروجين + سبول</t>
  </si>
  <si>
    <t xml:space="preserve">صيانه    </t>
  </si>
  <si>
    <t>23/3/2024</t>
  </si>
  <si>
    <t>طابوكه</t>
  </si>
  <si>
    <t>جامه امامي</t>
  </si>
  <si>
    <t>سمكره+صبغ جدر+شاصي</t>
  </si>
  <si>
    <t>جك قماره+جبنه+جامه امامي+تبديل دهن+نشره كلوب+واشر لاستيك+انجكتر+قاعدة صياد+اجرة فيتر+كهربائي</t>
  </si>
  <si>
    <t>كهربائيات+كرين+تورنجي+مواد متفرقه+اجرة عمل</t>
  </si>
  <si>
    <t>تجفيت انجكتر+مراة جانبيه+اجور عمل+صدر+اجور عمل</t>
  </si>
  <si>
    <t>قاطع دوره+جوزة كير+اسبول كامل</t>
  </si>
  <si>
    <t>كب تشحيم+تشحيم+غسل+رمل جدر+شاصي+تصليح صالنصه مع تبديل هزاز+عمل حدادة جدر مع حداده خارجيه +تصليح لغد امامي+صبغ خباطه+كراجيه</t>
  </si>
  <si>
    <t>نمرة كير1/3/5 +عينة كلج مع صينيه مع بولبرن اصلي +فلاوين+جبنة فنديشن محرك+تخم واشر كير+فلتر+سيؤويل كير90+دهن بريك+هيدروليك+ماء مقطر للراديتر+اجور عمل</t>
  </si>
  <si>
    <t>عمل جاملغات+عمل باجات دبل شاصي+حدادة بدي قلاب</t>
  </si>
  <si>
    <t>صدر +اجور عمل+كيس كيرمع كرين+صدر خلفي مع اجور عمل</t>
  </si>
  <si>
    <t>تصليح قفل باب بدي+عمل دعاميه خلفيه+غسل+جوين انتركولر+ماء مقطر2كارتون+تبديل طقم كاردن مع اجور فتح و شد</t>
  </si>
  <si>
    <t>نوزل انجكتر+انجكتر ولف+اجور فيتر+فتح مخدات عدد4+ابرة انجكترجديدعدد2+يدة باب+اجور عمل+براغي مخدات</t>
  </si>
  <si>
    <t>تخم بوش+ستيم+رنك+بيرن بكن+تخم واشر+بم+ولف+نوزل+واشرات بم+فلتر كير+زيت+اجور عمل تجفيت بم</t>
  </si>
  <si>
    <t>كهربائيات+واقيات+ربل شاصي+شعار جدر+يدة قمجي+وايرقمجي+كب ويل امامي+جاملغ امامي+صوندة هيدروليك</t>
  </si>
  <si>
    <t>اطارات+ويل هنكاري</t>
  </si>
  <si>
    <t>تبديل دهن و فلاتر</t>
  </si>
  <si>
    <t>كهربائيات+سبايدر+سمكره+دوشمة كشنات+جامه امامي+راديتر وصونده وماء+اجور عمل الصباغ+حراسه+قطع غيار متفرقه</t>
  </si>
  <si>
    <t>عمل بطل جك رجل بم امامي مع تجفيت البستم الرئيسي</t>
  </si>
  <si>
    <t>هورن اصلي مع شخاطه</t>
  </si>
  <si>
    <t>عكس اورجنال سوبر عدد6+مضخة ماء+جبنة بوبت حوض عدد2 جميعها مواد احتياطيه للبم</t>
  </si>
  <si>
    <t>كبان+صوندات الكبان+تقسيم وزبانه+صونده+مسدس تنظيف+اجور عمل</t>
  </si>
  <si>
    <t>تصليح كير+جوزة ثقيل و خفيف+شخاطة كير + فيشة مضخه</t>
  </si>
  <si>
    <t>جوزة لقلق + ولف سرفه</t>
  </si>
  <si>
    <t>ضريبه في مرور اربيل رقم الوصل 0980705</t>
  </si>
  <si>
    <t>ضريبة تحويل في مرور اربيل + فندق + اجور نقل</t>
  </si>
  <si>
    <t>تخم ابر نوزل+جوين بوري+دهن محرك وفلاتر+اجور عمل+فيت بم+قايش+تخم جعوب+اجور عمل+دبل قماره امامي و خلفي+جوبلس قماره+لاستيك قماره+لبة جوزة تشغيل+شد كهربائي+تقوية سكليتر +قمجي+سمكري+دوشمجي+دبلات امامي+تخم رنك+تخم كازكيت+تخم واشر دكشن وكزوز+تخم كايد+اجور عمل+تاروسه+اجور عمل القماره+شوتة محرك</t>
  </si>
  <si>
    <t>كايد بم كاز+ولف بم كاز+طخم واشرات فلسان+طخم واشر خلفي+ربل+اجور عمل</t>
  </si>
  <si>
    <t>تبديل محرك</t>
  </si>
  <si>
    <t>ولف حماوه+فحص حاسبه+برمجه+اجور عمل</t>
  </si>
  <si>
    <t>شوتة هواء+كيج حماوه+جوزة حماوه+عكس سن+راس عدل+زبانه سن</t>
  </si>
  <si>
    <t>هيدروليك+فلتر+جوزة كير</t>
  </si>
  <si>
    <t>هيدروليك+فلتر</t>
  </si>
  <si>
    <t>تبديل دهن+فحص كير+تشحيم اكسل+تصليح سيت ولف</t>
  </si>
  <si>
    <t xml:space="preserve">القبس </t>
  </si>
  <si>
    <t>19/3/2028</t>
  </si>
  <si>
    <t xml:space="preserve">عدنان علي </t>
  </si>
  <si>
    <t>عدنان علي</t>
  </si>
  <si>
    <t xml:space="preserve">الموقع </t>
  </si>
  <si>
    <t xml:space="preserve">المقر </t>
  </si>
  <si>
    <t xml:space="preserve">البيكبات  الحمل </t>
  </si>
  <si>
    <t xml:space="preserve">الخباطات </t>
  </si>
  <si>
    <t xml:space="preserve">الحفارات </t>
  </si>
  <si>
    <t xml:space="preserve"> الشفلات </t>
  </si>
  <si>
    <t xml:space="preserve"> الجرافات </t>
  </si>
  <si>
    <t xml:space="preserve">  الكرينات </t>
  </si>
  <si>
    <t xml:space="preserve"> شاحنات حمل قلاب  </t>
  </si>
  <si>
    <t xml:space="preserve"> شاحنات حمل قلاب   نساف </t>
  </si>
  <si>
    <t xml:space="preserve">  الحادلا ت</t>
  </si>
  <si>
    <t xml:space="preserve"> دنبر </t>
  </si>
  <si>
    <t xml:space="preserve">مضخة كونكريت </t>
  </si>
  <si>
    <t>كرين هونداي 10 طن</t>
  </si>
  <si>
    <t>عاطل</t>
  </si>
  <si>
    <t>سن شفل+براغي+سكن 270م</t>
  </si>
  <si>
    <t>سلف+تجفيت جكات+واشرات+تبديل بطل+اجور تورنه</t>
  </si>
  <si>
    <t>دهن+فلتر+بنزين مرتين</t>
  </si>
  <si>
    <t>اجور عمل تجفيت محرك+بريك+تبديل فيتبم+اجور عمل كور+اجور عمل كهربائي تبديل بلكات حماوه+تبديل داينمو+كيلون بنيد+فان بنكو+نوزلات+صدر+كماليات+تجفيت</t>
  </si>
  <si>
    <t>غلاف بدي+كهربائيات+كشنات+جاملغات+دعاميه+شباك+ترايش جام+غلاف سماعه+جام امامي+صدر+ربلات+دركة ستيرن+اجور عمل</t>
  </si>
  <si>
    <t>تجفيت صدر</t>
  </si>
  <si>
    <t>نوزلات+كور+تجفيت محرك+دهن وفلتر+سي اويل+قوايش+تجفيت بم+جوينات ماء+كماليات</t>
  </si>
  <si>
    <t>كهربائيات+كماليات+تبديل تخم كب+كنديسر +قاعدة كنديسر</t>
  </si>
  <si>
    <t>واشر قبغ ولفات+كرين+ولف حماوه+كيلون+نرماده+قاعدة بلكات</t>
  </si>
  <si>
    <t>دوشمه+شريط جانبي+ارضيات+عمل صالنصه+كهربائيات مع اجور عمل+كماليات</t>
  </si>
  <si>
    <t>صدر+نوزلات+فيتبم+بلكات+مشط ستيرن</t>
  </si>
  <si>
    <t xml:space="preserve"> هورن</t>
  </si>
  <si>
    <t>اجور عمل دسكات + بنزين</t>
  </si>
  <si>
    <t xml:space="preserve">البيكبات /كيا </t>
  </si>
  <si>
    <t>أبو غريب</t>
  </si>
  <si>
    <t xml:space="preserve">الدورة </t>
  </si>
  <si>
    <t>ميزانيه</t>
  </si>
  <si>
    <t>13/4/2024</t>
  </si>
  <si>
    <t>كيبل+شخاطه+بلوجكترات+عمل</t>
  </si>
  <si>
    <t>دعاميه اماميه+لايت+براكيت+ماسكه+ارضيات+كلبسات+غسل كيا+بولش + سمكره</t>
  </si>
  <si>
    <t>كت لب اصابع+كت كونترول+كت كريدر+اجور عمل</t>
  </si>
  <si>
    <t>يدة لايت+جوزة بك+فيشة كير+هورن+عطر لايت+كاز+اجور عمل</t>
  </si>
  <si>
    <t>صدر امامي خلفي+بنزين+يدة باب +خط جانبي</t>
  </si>
  <si>
    <t>27/4/2024</t>
  </si>
  <si>
    <t>لايت امامي</t>
  </si>
  <si>
    <t>29/4/2024</t>
  </si>
  <si>
    <t>تبديل مصابيح خلفيه+فلتر تبريد</t>
  </si>
  <si>
    <t>اطارات+كماليات</t>
  </si>
  <si>
    <t>تصليح كور+سلندر+ولف+لاستيك ولف+ادوات محرك متفرقه+صونده+تفلون</t>
  </si>
  <si>
    <t>جوزة هيدروليك</t>
  </si>
  <si>
    <t>صوندة ثانوي</t>
  </si>
  <si>
    <t>كيبل+من سويج+صوندة هواء</t>
  </si>
  <si>
    <t>صليب+اجور عمل+جاملغ+ارضيه+غسل</t>
  </si>
  <si>
    <t>جك سحب ودفع</t>
  </si>
  <si>
    <t>ولف رئيسي هيدروليك</t>
  </si>
  <si>
    <t>صدر+كهربائيات+كماليات</t>
  </si>
  <si>
    <t>ماطور كاز اسود</t>
  </si>
  <si>
    <t>تصليح كلج+قلايج+تجفيت جك+اجرة كرين+سرفة كلج+تجفيت سنتر جوين+اجور عمل</t>
  </si>
  <si>
    <t>بطارية</t>
  </si>
  <si>
    <t>صدر + صبغ عربانه</t>
  </si>
  <si>
    <t>19/5/2024</t>
  </si>
  <si>
    <t>تنظيف غرفة احتراق</t>
  </si>
  <si>
    <t>22/5/2024</t>
  </si>
  <si>
    <t>شمعات+هورن+غسل</t>
  </si>
  <si>
    <t>فيت بم اصلي+قبغ تانكي+فيشه+عمل</t>
  </si>
  <si>
    <t>خباطة كونريت - مارسيدس</t>
  </si>
  <si>
    <t>جوين+جوزة حماوه+حساس</t>
  </si>
  <si>
    <t>بطاريه+ماطور كاز+هيدروليك</t>
  </si>
  <si>
    <t>دهن+فلتر+فلتر تبريد</t>
  </si>
  <si>
    <t>15/6/2024</t>
  </si>
  <si>
    <t>موزع كونترول</t>
  </si>
  <si>
    <t>فلاتر+طوافه+دوران كامل+سيئويل</t>
  </si>
  <si>
    <t>بورستيرن+نوزل+تصليح بريك+اجور عمل</t>
  </si>
  <si>
    <t>تجفيت بم</t>
  </si>
  <si>
    <t>جبنة راس كرنك+روله</t>
  </si>
  <si>
    <t>براد دهن+واشر براد+فلتر دهن</t>
  </si>
  <si>
    <t>بوش رنك+ولف+بيرن+واشر محرك+براد+واتر بم+جوزة حماوه+رايمر</t>
  </si>
  <si>
    <t>روله+جبن كير بوكس</t>
  </si>
  <si>
    <t>مروحه+فيتبم+تخم كايد وولف ونوزلات وواشرات و مرايات+تجفيت واتربم+بولبرن+تبديل جبن</t>
  </si>
  <si>
    <t>24/7/2024</t>
  </si>
  <si>
    <t>دسكات+دهن + فلتر</t>
  </si>
  <si>
    <t>14/7/2024</t>
  </si>
  <si>
    <t>اطار</t>
  </si>
  <si>
    <t>بكن+تخم واشر محرك+سيت فلس+دهن وفلاتر</t>
  </si>
  <si>
    <t>جبن كريز+تجفيت جب رئيسي+الثانوي + الكيله</t>
  </si>
  <si>
    <t>تبديل راديتر+القزان+قايش+هيدروليك</t>
  </si>
  <si>
    <t>فلتر كير+قفيص فلتر و جوين+مضخة كاز+ماء مقطر</t>
  </si>
  <si>
    <t>واير10ملم+تجفيت جك طاب طالع+عمل تعديل بريس</t>
  </si>
  <si>
    <t>جاملغ+بك لايت</t>
  </si>
  <si>
    <t>معاملة مرور</t>
  </si>
  <si>
    <t>تجديد سنويه + غرامه مروريه</t>
  </si>
  <si>
    <t>اصلاح اطارات</t>
  </si>
  <si>
    <t>بوش+بريس+اجور عمل+تصليح داينمو</t>
  </si>
  <si>
    <t>جوزة تشغيل</t>
  </si>
  <si>
    <t>اطارات اماميه</t>
  </si>
  <si>
    <t>ويل</t>
  </si>
  <si>
    <t>20/7/2024</t>
  </si>
  <si>
    <t>شراء بطاريه+صيانة كير مع تبديل دهن</t>
  </si>
  <si>
    <t>تجديد سنويه + غرامه</t>
  </si>
  <si>
    <t xml:space="preserve"> غرامه</t>
  </si>
  <si>
    <t>فحص اسطوانات+حموله</t>
  </si>
  <si>
    <t>غرامه+تجديد</t>
  </si>
  <si>
    <t>كمرك</t>
  </si>
  <si>
    <t>28/7/2024</t>
  </si>
  <si>
    <t>تصليح جامه</t>
  </si>
  <si>
    <t>تبديل دهن+فلتر +فلترشوته+غسل+شراء بخاخ للاملاح القماره+نصب كامره اماميه</t>
  </si>
  <si>
    <t>14/8/2024</t>
  </si>
  <si>
    <t>جامه خلفيه</t>
  </si>
  <si>
    <t>تبديل فلتر بنزين+تبريد</t>
  </si>
  <si>
    <t>فحص كمرك</t>
  </si>
  <si>
    <t>اجور تبديل نوزلات</t>
  </si>
  <si>
    <t>تبديل مشط ستيرن</t>
  </si>
  <si>
    <t>تجفيت جكات طاب طالع</t>
  </si>
  <si>
    <t>سيت ولف رئيسي+اجور عمل+كبس صونده+فيش كير+باور ستيرن+جعمقة ستيرن+دهن هايدروليك</t>
  </si>
  <si>
    <t>بطاريه+يدة كير كريدر</t>
  </si>
  <si>
    <t>بوش كيله 350</t>
  </si>
  <si>
    <t>يدة اشاره+كهربائيات متنوعه+حدادة صدر+ساندبلاس+صبغ جدر+كماليات</t>
  </si>
  <si>
    <t>واشر غطاس+جهاز انذار+فيتبم مع فلتر+اجور عمل</t>
  </si>
  <si>
    <t>نوزلات طخم</t>
  </si>
  <si>
    <t>قاعدة نيسان براد+واشرات براد</t>
  </si>
  <si>
    <t>بدنه+كوشه+لايت/تصليح دعمه</t>
  </si>
  <si>
    <t>م.مروان</t>
  </si>
  <si>
    <t>بطارية ريمونت+فلتر شوته</t>
  </si>
  <si>
    <t>دهن+فلتر+فلتر شوته+فلتر تبريد</t>
  </si>
  <si>
    <t>صيانه+فحص+برمجه+تبديل بوري صالنصه</t>
  </si>
  <si>
    <t>صيانه+مطب سبرنك+فلتر+ادوات احتياطيه</t>
  </si>
  <si>
    <t>كهربائي+فيتر</t>
  </si>
  <si>
    <t>اجور عمل كهربائي</t>
  </si>
  <si>
    <t>مروحه+قايش عدد2</t>
  </si>
  <si>
    <t>صيانه+عمل كهربائي</t>
  </si>
  <si>
    <t>صيانه+كاز</t>
  </si>
  <si>
    <t>دهن+فلتر25/9+14/10</t>
  </si>
  <si>
    <t>مواد تصليح ضربة الدعاميه</t>
  </si>
  <si>
    <t>تبديل عنبار بريك+دهن+دهن محرك و فلتر+جامه اماميه</t>
  </si>
  <si>
    <t>11 L 41113</t>
  </si>
  <si>
    <t>الإدارة</t>
  </si>
  <si>
    <t xml:space="preserve">غسل   </t>
  </si>
  <si>
    <t>ادامه/تبديل فلتر+واشر+دهن كير+فلاتر بنزين+شوته+دهن+دهن محرك+دهن اكسلات+فلاش محرك+تشحيم كاردن</t>
  </si>
  <si>
    <t>تغليف السياره بالكامل + تكحيل</t>
  </si>
  <si>
    <t>كامرة تسجيل طريق+رام</t>
  </si>
  <si>
    <t>ارضيات</t>
  </si>
  <si>
    <t>عنبار+يده خارجيه+دهن بريك+اجور عمل</t>
  </si>
  <si>
    <t>جوزات+فلتر هواء+اجور عمل</t>
  </si>
  <si>
    <t>كايد+ولف+تخم واشر+اجور عمل</t>
  </si>
  <si>
    <t>واير 120م</t>
  </si>
  <si>
    <t>جوزة تشغيل+كتف</t>
  </si>
  <si>
    <t>لايت+تصليح ظفيره</t>
  </si>
  <si>
    <t>تخم فلاتر</t>
  </si>
  <si>
    <t>جلكان دهن موريس</t>
  </si>
  <si>
    <t>تخم فلاتر+بطاريه+تجفيت فريم اكسن</t>
  </si>
  <si>
    <t>تخم كلج عينه+صينيه</t>
  </si>
  <si>
    <t>ثكال بنكه</t>
  </si>
  <si>
    <t>جراخة كرنك+تبديل بيرن بكن+بوش كام شفت</t>
  </si>
  <si>
    <t>فلتر هيدروليك</t>
  </si>
  <si>
    <t>زوج اطارات</t>
  </si>
  <si>
    <t>بوش محرك+بستم+كوجنبيم+رنك+بيرن بكن+بوش كام شفت+واشر محرك+براد دهن</t>
  </si>
  <si>
    <t>بم+رولة قوايش+تايمن+اذرع مكينه</t>
  </si>
  <si>
    <t>حديد بليت+تخم بلزك</t>
  </si>
  <si>
    <t>طاحونه + قاعدة فلتر كاز</t>
  </si>
  <si>
    <t>عمل كهربائيات مع تصليح سلف</t>
  </si>
  <si>
    <t>كهربائيات+لايت+عمل وايد كامل+مرايه جانبيه+تصفير فلاوين+اجور عمل فيتر+كراجيه</t>
  </si>
  <si>
    <t>تبديل اطارات امامي مع البلنص</t>
  </si>
  <si>
    <t>فلتر دهن+فلتر كاز</t>
  </si>
  <si>
    <t>لبه+جوزه مع فيشه</t>
  </si>
  <si>
    <t>جوزة بك+قفيص رباط+اجور عمل</t>
  </si>
  <si>
    <t>زوج اطارات+زناجيل + راجز + يدة كير مع لعابات قليج + اجور عمل</t>
  </si>
  <si>
    <t>كامرة تسجيل داش كام</t>
  </si>
  <si>
    <t>م. وليد القيسي</t>
  </si>
  <si>
    <t>اجور كهربائي عن نصب كامره+غسل</t>
  </si>
  <si>
    <t>دهن + فلتر+ غسل وتشحيم</t>
  </si>
  <si>
    <t>دهن 20 لتر</t>
  </si>
  <si>
    <t>زوج ويل</t>
  </si>
  <si>
    <t>تصليح جامه اماميه</t>
  </si>
  <si>
    <t>اذان محرك+دبة فضله+قفيص سبرنك+براغي+واشرات+اجور عمل فتح سبرنكات مع تورنجي+فتح لعابه+سيندل سمال+بوشه+لحام</t>
  </si>
  <si>
    <t>جوزة طاحونة مع فيشة+قفل باتري مع رزة قفل باتري+صجمة هواء+فلاتر كاز و دهن</t>
  </si>
  <si>
    <t>فلاتر دهن و كاز+دهن+قطره</t>
  </si>
  <si>
    <t>دسكات امامي+زوج اطارات مع الشد وبلنص+ميزانيه</t>
  </si>
  <si>
    <t>كونترول+كشن+غسل+غلاف ستيرن+ماسخات+مرايه+تشحيم+تبديل دهن و فلتر</t>
  </si>
  <si>
    <t>واشرات انجكتر+قبغ دهن فلتر مان+ابرة انجكتر+نوزلات+دهن+مدكة كاز+ماسحات</t>
  </si>
  <si>
    <t>طبله+دسك</t>
  </si>
  <si>
    <t>صيانة منظومة هواء+اجور عمل</t>
  </si>
  <si>
    <t>تصليح سلف+تبديل قاعدة فحمات+بوش+عمل</t>
  </si>
  <si>
    <t>لبه</t>
  </si>
  <si>
    <t>جبنه+بولبرن+واشر بريك+بولبرن قاعدة 4+بولبرن راس الهاوزن</t>
  </si>
  <si>
    <t>فلاتر دهن+كاز+دهن</t>
  </si>
  <si>
    <t>دهن+فلتر+غسل +بلك حماوه</t>
  </si>
  <si>
    <t>سيت ولف+اجور عمل+جوين+واشر دبل كير+بنزين+غسل+اجور عمل+شراء تانكي +طوافة كاز اصليه</t>
  </si>
  <si>
    <t>جوينات متنوعه مع قفايص+تجفيت واتربم+تبديل بولبرنات+تبديل دبة ماء+اجورعمل+عنبار بريك</t>
  </si>
  <si>
    <t>فحص حاسبه+فتح انجكتر+فحص طاحونه+فحص ولفات راجع</t>
  </si>
  <si>
    <t>واير8ملم+عينه+طبله</t>
  </si>
  <si>
    <t>ولف مدرج حفاره حجم 200</t>
  </si>
  <si>
    <t>مرايه كزاز</t>
  </si>
  <si>
    <t>شوتة هواء</t>
  </si>
  <si>
    <t>قبق باتري مان+رزة قفل</t>
  </si>
  <si>
    <t>سلف</t>
  </si>
  <si>
    <t>بور ستيرن</t>
  </si>
  <si>
    <t>هيدروليك</t>
  </si>
  <si>
    <t>زوج ويل+زوج اطارات+جوبلس عربانه+اجور عمل</t>
  </si>
  <si>
    <t xml:space="preserve">طبله  </t>
  </si>
  <si>
    <t>تبديل روط +عمل+ضبط ميزانيه+اكرامية عمال+جهاز سنترلوك+هورن+جاملغ+لاستيك جاملغ</t>
  </si>
  <si>
    <t>تصليح كونترول+طاحونه+تبديل طخم صفحه+</t>
  </si>
  <si>
    <t>تربو جارج</t>
  </si>
  <si>
    <t>اوفر هول+بوشة كرنك</t>
  </si>
  <si>
    <t>بطل تاروسه</t>
  </si>
  <si>
    <t>كرنك+بيرن بكن+هلالات+اذرع</t>
  </si>
  <si>
    <t>فلاتر</t>
  </si>
  <si>
    <t>دهن+فلتر</t>
  </si>
  <si>
    <t>صيانة زيوت متنوعه</t>
  </si>
  <si>
    <t xml:space="preserve">اطارات </t>
  </si>
  <si>
    <t>تجفيت جك رئيسي+جك ستيرن</t>
  </si>
  <si>
    <t>تلكراف+فتح سبرنكات+سبرنك عربانه+اكراميه</t>
  </si>
  <si>
    <t>كارت تخريم منكار+اجور عمل+منظم كيج+بطاريه</t>
  </si>
  <si>
    <t>فلتر+سيليكون اصلي+منظف محرك</t>
  </si>
  <si>
    <t>استد</t>
  </si>
  <si>
    <t>بستن بريك+جبنة ويل+حديد</t>
  </si>
  <si>
    <t>حديد</t>
  </si>
  <si>
    <t>تجفيت+ملحقاته+اجور عمل+عمل راديتر</t>
  </si>
  <si>
    <t>قوايش</t>
  </si>
  <si>
    <t>بطاريه عدد 2</t>
  </si>
  <si>
    <t>صينيه+جراخه+كرين تنزيل و تصعيد+ربل كير خلفي+اجور عمل</t>
  </si>
  <si>
    <t>راديتر+اجور عمل</t>
  </si>
  <si>
    <t>لبه سوبر+عمل تورنجي+واشر دكشن</t>
  </si>
  <si>
    <t>قبغ دهن+واشر بم محرك+بوشة براد ماء+فافونة براد ماء+فلتر دهن</t>
  </si>
  <si>
    <t>فلتر كاز+جك ولف راجع+فيشة شقاط+فحص سياره+اجور عمل</t>
  </si>
  <si>
    <t>لاستيك بوابه</t>
  </si>
  <si>
    <t>بلكات+نوزل+عمل صيانه</t>
  </si>
  <si>
    <t>حفارة هيتاشي 85</t>
  </si>
  <si>
    <t>خالد علي  صالح</t>
  </si>
  <si>
    <t>القبس</t>
  </si>
  <si>
    <t>11 M 99237</t>
  </si>
  <si>
    <t>11 H 68461</t>
  </si>
  <si>
    <t>11 H 83043</t>
  </si>
  <si>
    <t>11 Q 51965</t>
  </si>
  <si>
    <t>واشرات</t>
  </si>
  <si>
    <t>تصليح محمد عكله</t>
  </si>
  <si>
    <t>محمد عكله</t>
  </si>
  <si>
    <t>تصليح محمد عكله +كهربائي+صوندات+اقفال كيله+جامه اماميه</t>
  </si>
  <si>
    <t>ويل خلفي+اطارات+فلنجات اماميه</t>
  </si>
  <si>
    <t>عمل واير سيم</t>
  </si>
  <si>
    <t>مشط</t>
  </si>
  <si>
    <t>قايش مسنن</t>
  </si>
  <si>
    <t>بطاريه 150 امبير</t>
  </si>
  <si>
    <t>بولبرن روله+قفيص جوين ماء+قايش مكينه+قزان راديتر+اجور عمل+ماء راديتر+فيشة كلج بنكه+كهربائي+مزيل دهون</t>
  </si>
  <si>
    <t>مثلث جامه</t>
  </si>
  <si>
    <t>بوش+لاستيك سبرنك+فايرات+اجور عمل</t>
  </si>
  <si>
    <t>تصليح تاروسة هواء</t>
  </si>
  <si>
    <t>فيوزات+تجفيت جك+كيير مع تبديل كافة الواشرات+تجفيت جكات+تبديل واشرات+اطارات</t>
  </si>
  <si>
    <t>اطارات+قايش+مدكة كاز</t>
  </si>
  <si>
    <t>كايد+ولف+تخم واشر+نوزل+اجور عمل</t>
  </si>
  <si>
    <t>زجاجة باب</t>
  </si>
  <si>
    <t>كيجات 2700</t>
  </si>
  <si>
    <t>دسكات+اجور عمل</t>
  </si>
  <si>
    <t>اطار+انبوب</t>
  </si>
  <si>
    <t>زوج اطارات+4ويلات</t>
  </si>
  <si>
    <t>حاضنه زنجيل+رولة +ويل+ماشة ويل+بستم تتنيك</t>
  </si>
  <si>
    <t>اطارات+انبوب+بلك حماوه</t>
  </si>
  <si>
    <t>بلك حماوه</t>
  </si>
  <si>
    <t>راديتر+قبغ+روله سفليه+روله علويه+ماشة ويل+حاضنة زنجيل+سبرنك+برغي روله+برغي ماشه+فلتر هيدروليك+دبة ماء+اويل سيل+قايش1200+يدة باب خارجيه+جبن هيدروليك+قاعدة كوع</t>
  </si>
  <si>
    <t>برميل هيدروليك+زيت</t>
  </si>
  <si>
    <t>عمر رمضان</t>
  </si>
  <si>
    <t>اطارات+بم+فلتر+فيت بم+قوايش</t>
  </si>
  <si>
    <t>جاملغات+صالنصه</t>
  </si>
  <si>
    <t>بيم صينيه+بيم جك+بوري سوبر+بيم</t>
  </si>
  <si>
    <t>راديتر شفل 6بوري فافون</t>
  </si>
  <si>
    <t>واير اصلي</t>
  </si>
  <si>
    <t>سفيفه تركي</t>
  </si>
  <si>
    <t>فلاتر+مدكه+كايد+ولف+تخم واشر+نوزلات+صوندة فيول+دبل صندوق+صونده</t>
  </si>
  <si>
    <t>تجفيت جكات+اجور حداده+تنظيف</t>
  </si>
  <si>
    <t>فلاتر+دهن+توصاله قصيره</t>
  </si>
  <si>
    <t>اطار+بولبرن رافعه+عمل تورنجي</t>
  </si>
  <si>
    <t>فريز+راديتر+هورن+قوايش+روله+عنبار+صليب طويل و قصير+دعاميه و براكيت+ماسكه+بروجكتور+غلاف ستيرن+اجور عمل</t>
  </si>
  <si>
    <t>دعاميه اماميه+مرايات اشاره</t>
  </si>
  <si>
    <t>مدكة كاز + فلتر دهن</t>
  </si>
  <si>
    <t>كونترول كير+فلتر داخلي+حساسات نمر كير</t>
  </si>
  <si>
    <t>دهن + فلاتر</t>
  </si>
  <si>
    <t>دهن+فلاتر</t>
  </si>
  <si>
    <t>دهن + فلتر + دوشمة مقاعد</t>
  </si>
  <si>
    <t xml:space="preserve">دهن+فلتر </t>
  </si>
  <si>
    <t>تصليح صدر + تبديل صرة دهن</t>
  </si>
  <si>
    <t>لايت + غسل</t>
  </si>
  <si>
    <t>تبديل ماطور ماسحات+برمجه</t>
  </si>
  <si>
    <t>عمل راديتر جديد+عمل كلج مروحه+عمل خزان وقود +طوافه</t>
  </si>
  <si>
    <t>ياسر طالب</t>
  </si>
  <si>
    <t>قايش 1920 امريكي</t>
  </si>
  <si>
    <t>تفلون مساطر بلجيكي 20ملم</t>
  </si>
  <si>
    <t>زجاج باب ايسر</t>
  </si>
  <si>
    <t>كلج مروحه+مروحة تبريد</t>
  </si>
  <si>
    <t>واشر قبغ ولفات علوي+سفلي+فلتر دهن</t>
  </si>
  <si>
    <t>طقم واشر اصلي مع سيليكون+جبنه يابانيه</t>
  </si>
  <si>
    <t>تجفيت واتر بم+تبديل جبن ماء و دهن+جراخة الشفت+اجور عمل</t>
  </si>
  <si>
    <t>ماشة كير+كت كلج عادي مان+سرفة كلج+صليب مضخه</t>
  </si>
  <si>
    <t>قايش+روله+زوج اطارات+تخم تاير+روله و قايش+قبغ باتري+فلتر شوته</t>
  </si>
  <si>
    <t>صونده عدد2+تجفيت جك رافعه+تبديل كافة العوازل+تصليح بستم مع بولش+اجور تورنه</t>
  </si>
  <si>
    <t>زوج اطارات+طبلة صدر</t>
  </si>
  <si>
    <t>اجور عمل فيتر</t>
  </si>
  <si>
    <t>عمل رولات</t>
  </si>
  <si>
    <t>فلتر شوته+واشر كنديسر+جاملغ و ملحقاته+فحل خلفي+براغي+تجفيت جك قماره+جاملغ تك تاير+بك لايت مع اضويه+اجور عمل</t>
  </si>
  <si>
    <t>نربو جارج كمنز</t>
  </si>
  <si>
    <t>فحمات+جبن+اورنكات+صوندة هيدروليك+جبن منضومه+فحمات جكات+صوندات هيدروليك+جبن الجب+مواد كهربائيه متنوعه+مدكة كاز+مواد كهربائيه للكير+اقراص كير حديد وبراص+فلتر كير+تصليح داينمو+صونده هيدروليك للكير+تصليح منظومة ستيرن+اجور كرين 6 مرات</t>
  </si>
  <si>
    <t>تانكي ماء</t>
  </si>
  <si>
    <t>فحص و تصليح جهاز الرفع+تصليح دشبول جهاز الرفع+مواد كهربائيه متنوعه+تجفيت كونترول منظومة الجكات</t>
  </si>
  <si>
    <t>تبديل فيتبم+قاعده+ظفيره+غسل+اجور عمل</t>
  </si>
  <si>
    <t>مروان مصطفى</t>
  </si>
  <si>
    <t>تصليح دعاميه+قواعد</t>
  </si>
  <si>
    <t>دهن+فلاتر تبريد و شوته+فحص كومبيوتر</t>
  </si>
  <si>
    <t>دهن+فلاتر شوته و دهن+عمل باج</t>
  </si>
  <si>
    <t>دوشمة توسان</t>
  </si>
  <si>
    <t>تجفيت انجكشن+فتح خزان وقود+تنظيف طوافة كاز+فلاتر دهن و كاز+اجور عمل+حاسبه</t>
  </si>
  <si>
    <t>قبغ جاملغ+جاملغ امامي يسار و يمين+جاملغ خلفي+لاستيك جاملغ</t>
  </si>
  <si>
    <t>يدة كير دمبر</t>
  </si>
  <si>
    <t>سلف عدد 2 + فلتر كاز</t>
  </si>
  <si>
    <t>مواد تجفيت +كور+اجور عمل+جراخة كوجن بيم+تشييش راديتر+انتركولر+دبلات قماره+جاملغ+اجور عمل+تجفيت انجكترات+فحص طاحونه</t>
  </si>
  <si>
    <t>كور كرانيت+كايد ونوزل+اجور عمل+اذان محرك+رايمر+بوش وبستم+كوجن بيم+واشر محرك+اجور عمل تجفيت+فلتر كاز و دهن</t>
  </si>
  <si>
    <t>كويل+زوج اطارات</t>
  </si>
  <si>
    <t>فلاتر كاز عدد2+واشر قبغ ولفات</t>
  </si>
  <si>
    <t>دهن20لتر+فلاتر دهن وكاز</t>
  </si>
  <si>
    <t>تصليح ريمونت كونترول بم كونكريت</t>
  </si>
  <si>
    <t>اجور عمل فيتر فتح مضخة حفاره</t>
  </si>
  <si>
    <t>عمبار كلج</t>
  </si>
  <si>
    <t>مواد كهربائيه + اجور عمل</t>
  </si>
  <si>
    <t>تصليح بريك+صليب ستيرن</t>
  </si>
  <si>
    <t>تجفيت جك مع تبديل واشرات+تصليح بستم لحيه+تجفيت طوابيك ولف+بوشه+لاينه</t>
  </si>
  <si>
    <t>براغي قبغ ولفات+ماشة قمجي+قبغ ولفات+واشر قبغ ولفات</t>
  </si>
  <si>
    <t>جبن جوستك+يدات جوستك+ولف هواء+شخاطة تحويل+قاعدة جك+صوندات هواء+طقم واشر كبير اوتماتيك+فتح وتركيب الثقاله+فتح وتركيب الجب+فتح وتركيب الصينيه+فتح وتجفيت السلايدات+فتح وتجفيت الجكات+فتح وتجفيت القامات وتبديل الصوندات+فتح وتجفيت جك الجب+تصليح كهربائية الشاصي+عمل برنامج كير اوتماتيك+تصليح جوستكات جهاز الرفع+تصليح منظومة الهواء+تجفيت كير اوتماتيك</t>
  </si>
  <si>
    <t>زوج اطارات+ادبلو بيئه سيكا 18 لتر</t>
  </si>
  <si>
    <t>فلاتر دهن و كاز +تصليح تاروسة هواء</t>
  </si>
  <si>
    <t>زوج اطارات+قايش+سوبر محرك+اجور عمل+شوته+كبوس ويل+لاستيك سوبر+حاسبه</t>
  </si>
  <si>
    <t>زوج اطارات+دهن+جك+حبل</t>
  </si>
  <si>
    <t>يدة باب</t>
  </si>
  <si>
    <t>بوشة بيم+لاينة بيم+بيم كيله+راس مشحمه عدد 2</t>
  </si>
  <si>
    <t>درع ستيل امامي+خلفي</t>
  </si>
  <si>
    <t>زوج اطارات+2ويل+جامة باب</t>
  </si>
  <si>
    <t>بولبرن+جبنه+اجور عمل</t>
  </si>
  <si>
    <t>نت ويل حادله عدد 10</t>
  </si>
  <si>
    <t>مدكه</t>
  </si>
  <si>
    <t>اطار واحد</t>
  </si>
  <si>
    <t>تبديل فريز+هزاز صالنصه+عمل</t>
  </si>
  <si>
    <t>سيم+بولبرن+بوشه+روله بكره+ستيل ستاند ستوب+ستيل ستوب صغير</t>
  </si>
  <si>
    <t>قمجي بنيد+تخم واشر تاروسه+مطبة قماره+اجور عمل+تنظيف راديتر+فلتر تبريد+بوري قماره+ماء راديتر اصلي+حاسبة فحص+اجور عمل+تبديل لايت امامي+تبديل هورن</t>
  </si>
  <si>
    <t>جوبلس+شفاطه كشن+اجور عمل+تبديل منظومة تبريد</t>
  </si>
  <si>
    <t>جوين سحب وراجع هيدروليك+تصليح سلف وكور+شوته</t>
  </si>
  <si>
    <t>عمل شفت+جوب+سيت ولف</t>
  </si>
  <si>
    <t>اطارات عدد 3</t>
  </si>
  <si>
    <t>اطارات عدد 2</t>
  </si>
  <si>
    <t>اطار+واشر براد دهن+واتربم مان+براد دهن مان</t>
  </si>
  <si>
    <t>غسل+دهن+فلتر</t>
  </si>
  <si>
    <t>صيانه دوريه</t>
  </si>
  <si>
    <t>تبديل نوزلات</t>
  </si>
  <si>
    <t>صونده+خرزه+واشر+فلتر+ولف راجع+عقل+اجور عمل كهربائي+صب روس باتريات+برمجة عقل+حاسبه+سوبر جوين+تبريد+صوندات كبس+تصليح جك قماره</t>
  </si>
  <si>
    <t>دك كلج+فلاوين+اجور عمل مع تصليح بريك</t>
  </si>
  <si>
    <t>تصليح سلف شفل</t>
  </si>
  <si>
    <t>واشرات+كعكات</t>
  </si>
  <si>
    <t>العداد</t>
  </si>
  <si>
    <t>11 A 71993</t>
  </si>
  <si>
    <t xml:space="preserve">تنبية 
صلاحية </t>
  </si>
  <si>
    <t xml:space="preserve">شوفرليت تاهو </t>
  </si>
  <si>
    <t>تويوتا برادو</t>
  </si>
  <si>
    <t xml:space="preserve">تويوتا بيك اب </t>
  </si>
  <si>
    <t xml:space="preserve">جيب جراند شيروكي </t>
  </si>
  <si>
    <t xml:space="preserve">تويوتا راف فور </t>
  </si>
  <si>
    <t>مسؤول الالية :</t>
  </si>
  <si>
    <t>11 W 8011</t>
  </si>
  <si>
    <t>خالد علي</t>
  </si>
  <si>
    <t>اسم
السائق/المسؤل</t>
  </si>
  <si>
    <t xml:space="preserve">تويوتا برادو </t>
  </si>
  <si>
    <t xml:space="preserve">  52164  ن  بغداد</t>
  </si>
  <si>
    <t xml:space="preserve"> 11734  د  بغداد</t>
  </si>
  <si>
    <t>88707 هـ بغداد</t>
  </si>
  <si>
    <t xml:space="preserve">88707  هـ  بغداد </t>
  </si>
  <si>
    <t>جيب جراند شيروكي</t>
  </si>
  <si>
    <t>تركي القيسي</t>
  </si>
  <si>
    <t xml:space="preserve">اضافة  هايدوليك /  لتر </t>
  </si>
  <si>
    <t xml:space="preserve">المكتب الرئيسي بغداد / المنصور </t>
  </si>
  <si>
    <t xml:space="preserve">الشهر : </t>
  </si>
  <si>
    <t>28332 أ  بغداد</t>
  </si>
  <si>
    <t xml:space="preserve"> تويوتا هايلوكس دبل كابينة - بيك اب</t>
  </si>
  <si>
    <t xml:space="preserve">تويوتا هايلوكس دبل كابينة - بيك اب </t>
  </si>
  <si>
    <t xml:space="preserve">88646 و بغداد </t>
  </si>
  <si>
    <t>تويوتا هايلوكس - بيك اب</t>
  </si>
  <si>
    <t>28332  أ  بغداد</t>
  </si>
  <si>
    <t xml:space="preserve">88646  و  بغداد </t>
  </si>
  <si>
    <t>71711  أ  بغداد</t>
  </si>
  <si>
    <t>اسم السائق/المسؤول</t>
  </si>
  <si>
    <t>2025/31/07</t>
  </si>
  <si>
    <t>تويوتا هايلوكس 4 سلندر - بيك اب</t>
  </si>
  <si>
    <t>تويوتا هايلوكس 6 سلندر - بيك اب</t>
  </si>
  <si>
    <t xml:space="preserve">شركة القبس </t>
  </si>
  <si>
    <t>9364  أ  بصرة</t>
  </si>
  <si>
    <t>11 H 38020</t>
  </si>
  <si>
    <t>اسم السائق / المسؤول</t>
  </si>
  <si>
    <t>تبديل دسكات امامي + تبديل جامه اماميه ايسر</t>
  </si>
  <si>
    <t>الشهر</t>
  </si>
  <si>
    <t>49923  أ  بغداد</t>
  </si>
  <si>
    <t>11 H 87740</t>
  </si>
  <si>
    <t>84103  هـ  بغداد</t>
  </si>
  <si>
    <t xml:space="preserve">87065  ك  بغداد </t>
  </si>
  <si>
    <t>68783  أ  بغداد</t>
  </si>
  <si>
    <t>80540  و  بغداد</t>
  </si>
  <si>
    <t>4462  أ  بغداد</t>
  </si>
  <si>
    <t xml:space="preserve">مسيوبيشي كنتر  بيك اب   </t>
  </si>
  <si>
    <t>مسيوبيشي كنتر بيك اب</t>
  </si>
  <si>
    <t>94707  هـ  بغداد</t>
  </si>
  <si>
    <t>41711  ط  بغداد</t>
  </si>
  <si>
    <t>46696  هـ  بغداد</t>
  </si>
  <si>
    <t>11 H  50955</t>
  </si>
  <si>
    <t>94900  ط  بغداد</t>
  </si>
  <si>
    <t>53389  ك  بغداد</t>
  </si>
  <si>
    <t>29500  ك  بغداد</t>
  </si>
  <si>
    <t>اخر عداد
/ ملاحظات</t>
  </si>
  <si>
    <t xml:space="preserve">60035  ن  بغداد </t>
  </si>
  <si>
    <t>10976  سليمانية</t>
  </si>
  <si>
    <t>6943  سليمانية</t>
  </si>
  <si>
    <t xml:space="preserve">حفار  JCB زنجيل </t>
  </si>
  <si>
    <t>مجموع</t>
  </si>
  <si>
    <t xml:space="preserve">10967   سليمانية </t>
  </si>
  <si>
    <t>9540  سليمانية</t>
  </si>
  <si>
    <t xml:space="preserve">اضافة / هايدوليك لتر </t>
  </si>
  <si>
    <t>8623  أ  بصرة</t>
  </si>
  <si>
    <t xml:space="preserve">حفارة هيتاشي </t>
  </si>
  <si>
    <t>9797 سليمانية</t>
  </si>
  <si>
    <t xml:space="preserve">9726  أ  بصرة </t>
  </si>
  <si>
    <t>وليد خالد</t>
  </si>
  <si>
    <t>58180  ط  بغداد</t>
  </si>
  <si>
    <t xml:space="preserve"> 58180  ط  بغداد</t>
  </si>
  <si>
    <t>24006  و  بغداد</t>
  </si>
  <si>
    <t>58178  ط  بغداد</t>
  </si>
  <si>
    <t xml:space="preserve"> 21- 6010 </t>
  </si>
  <si>
    <t>8624 أ بصرة</t>
  </si>
  <si>
    <t xml:space="preserve">شفل جي سي بي </t>
  </si>
  <si>
    <t xml:space="preserve">77701  ط  بغداد </t>
  </si>
  <si>
    <t>2493  أ  بابل</t>
  </si>
  <si>
    <t>57943  ط  بغداد</t>
  </si>
  <si>
    <t xml:space="preserve">22745  أ  أنبار </t>
  </si>
  <si>
    <t>22745  أ  انبار</t>
  </si>
  <si>
    <t>8640  أ  بصرة</t>
  </si>
  <si>
    <t>57946  ط  بغداد</t>
  </si>
  <si>
    <t>شفل كاوسكي 60Z</t>
  </si>
  <si>
    <t xml:space="preserve">شفل كاوساكي 80   </t>
  </si>
  <si>
    <t>8641  أ  بصرة</t>
  </si>
  <si>
    <t>بلدوزر كتر بلر / شفل مسرف</t>
  </si>
  <si>
    <t>بلدوزر كتتر بلر/ شفل مسرف</t>
  </si>
  <si>
    <t>50913  ط  بغداد</t>
  </si>
  <si>
    <t>50826  ط  بغداد</t>
  </si>
  <si>
    <t>قايش + لحام + تصليح بم كاز + بوشه + لاينه كام شفت + تجفيت بم + طقم بوش كوجن بيم + طقم بوش كام شفت + طقم بوش تايمن كيس + ولف كور حار + بوشكوجن بيم + كت اكزوز + كت واتربم + واشر تايمن + كت فنديشن + كايد +طقم بيرن بكن + ولف كور</t>
  </si>
  <si>
    <t>8627  أ  بصرة</t>
  </si>
  <si>
    <t>جي سي بي شفل</t>
  </si>
  <si>
    <t>57945  ط  بغداد</t>
  </si>
  <si>
    <t>50827  ط  بغداد</t>
  </si>
  <si>
    <t>673  ر  انبار</t>
  </si>
  <si>
    <t>53035 ف  بغداد</t>
  </si>
  <si>
    <t>53035  ف  بغداد</t>
  </si>
  <si>
    <t>2884  انبار</t>
  </si>
  <si>
    <t>50313  ط  بغداد</t>
  </si>
  <si>
    <t>كرين  اج  بى</t>
  </si>
  <si>
    <t>98959  ك  بغداد</t>
  </si>
  <si>
    <t>163283 سليمانية</t>
  </si>
  <si>
    <t>163529 سليمانية</t>
  </si>
  <si>
    <t>11 N 95072</t>
  </si>
  <si>
    <t xml:space="preserve">11 K 66478 </t>
  </si>
  <si>
    <t xml:space="preserve">11 W 62040  </t>
  </si>
  <si>
    <t xml:space="preserve">تريله اكتروز  </t>
  </si>
  <si>
    <t>تريله سكانيا</t>
  </si>
  <si>
    <t>22 E 25791</t>
  </si>
  <si>
    <t>153869 سليمانية</t>
  </si>
  <si>
    <t>153869سليمانية</t>
  </si>
  <si>
    <t>11 W 84878</t>
  </si>
  <si>
    <t>تريله اكتروز</t>
  </si>
  <si>
    <t>11 K 90723</t>
  </si>
  <si>
    <t>22 J 17040</t>
  </si>
  <si>
    <t>22 L 17586</t>
  </si>
  <si>
    <t>22 L 16495</t>
  </si>
  <si>
    <t xml:space="preserve">22 L 17586 </t>
  </si>
  <si>
    <t xml:space="preserve">41772 - كاتي سليمانية </t>
  </si>
  <si>
    <t>-</t>
  </si>
  <si>
    <t>37750 كاتي سليمانية</t>
  </si>
  <si>
    <t>37750 - كاتي سليمانية</t>
  </si>
  <si>
    <t xml:space="preserve">41771 - كاتي سليمانية </t>
  </si>
  <si>
    <t>رافعة الشوكيه JCB</t>
  </si>
  <si>
    <t>جي سي بي لودر</t>
  </si>
  <si>
    <t>83708 ك  بغداد</t>
  </si>
  <si>
    <t>6765  أ  بصرة</t>
  </si>
  <si>
    <t xml:space="preserve">8490 سليمانية </t>
  </si>
  <si>
    <t>رافعات</t>
  </si>
  <si>
    <t>57947  ط  بغداد</t>
  </si>
  <si>
    <t>57942  ط  بغداد</t>
  </si>
  <si>
    <t xml:space="preserve"> 8621  أ  بصرة</t>
  </si>
  <si>
    <t>حادلة 2 طن</t>
  </si>
  <si>
    <t xml:space="preserve"> 9579  أ  بصرة</t>
  </si>
  <si>
    <t xml:space="preserve"> 8620  أ  بصرة</t>
  </si>
  <si>
    <t xml:space="preserve">9470  أ  بصرة </t>
  </si>
  <si>
    <t>9470  أ  بصرة</t>
  </si>
  <si>
    <t xml:space="preserve"> 9239  أ  بصرة</t>
  </si>
  <si>
    <t xml:space="preserve">11 H 62586 </t>
  </si>
  <si>
    <t xml:space="preserve"> 58565  ط  بغداد</t>
  </si>
  <si>
    <t xml:space="preserve">44914  ن  بغداد </t>
  </si>
  <si>
    <t>تانكر</t>
  </si>
  <si>
    <t xml:space="preserve">8321  أ  بصرة </t>
  </si>
  <si>
    <t xml:space="preserve"> 98669  و  بغداد</t>
  </si>
  <si>
    <t>65793  ط  بغداد</t>
  </si>
  <si>
    <t>اسد بابل</t>
  </si>
  <si>
    <t>حافلة</t>
  </si>
  <si>
    <t>41675 أربيل</t>
  </si>
  <si>
    <t>41695 أربيل</t>
  </si>
  <si>
    <t>26579  أ  ديالى</t>
  </si>
  <si>
    <t>45750 فحص كركوك</t>
  </si>
  <si>
    <t>11 T 51679</t>
  </si>
  <si>
    <t>ملاحظات</t>
  </si>
  <si>
    <t>معمل الثيرمستون</t>
  </si>
  <si>
    <t>علي ياوز</t>
  </si>
  <si>
    <t>خان ضاري</t>
  </si>
  <si>
    <t>الدورة</t>
  </si>
  <si>
    <t>كرين   تادانو 30 طن</t>
  </si>
  <si>
    <t>دامبر قلاب 3 طن</t>
  </si>
  <si>
    <t>دامبر قلاب 6 طن</t>
  </si>
  <si>
    <t>بلدوزر - كتربلر  دي 8</t>
  </si>
  <si>
    <t>شفل كاواساكي 50Z</t>
  </si>
  <si>
    <t xml:space="preserve">م بكر </t>
  </si>
  <si>
    <t xml:space="preserve">م منذر </t>
  </si>
  <si>
    <t>حفارة  زنجيل - هيتاشي 80</t>
  </si>
  <si>
    <t>حفارة هيتاشى 200</t>
  </si>
  <si>
    <t xml:space="preserve">21-6010  سليمانية </t>
  </si>
  <si>
    <t xml:space="preserve">شفل  جي سي بي </t>
  </si>
  <si>
    <t xml:space="preserve">  مان/ راس تريله</t>
  </si>
  <si>
    <t xml:space="preserve"> مان  نساف</t>
  </si>
  <si>
    <t xml:space="preserve">رافعة JCB  </t>
  </si>
  <si>
    <t>11452 سليمانية</t>
  </si>
  <si>
    <t xml:space="preserve">شفل </t>
  </si>
  <si>
    <t xml:space="preserve">96004 ف بغداد </t>
  </si>
  <si>
    <t>تبديل حساس اي بي اس</t>
  </si>
  <si>
    <t>دسكات امامي+فحص جهاز+غسل+بنجر+جادر</t>
  </si>
  <si>
    <t>بوشة براد</t>
  </si>
  <si>
    <t>بم ثلاثي</t>
  </si>
  <si>
    <t>برغي زنجيل+لنكة زنجيل+ماستربيم</t>
  </si>
  <si>
    <t>ربلة كاردن+صمونه</t>
  </si>
  <si>
    <t>بطاريه 150 امبير عدد2</t>
  </si>
  <si>
    <t>سيتولف</t>
  </si>
  <si>
    <t>سيتولف+عنبار كلج+صوندات+عكس7</t>
  </si>
  <si>
    <t>جام بلاستك+تنظيف راديتر+تجفيت سوبر+واشر حار بارد+شوته</t>
  </si>
  <si>
    <t>كبس وتبديل صونده+صونده+راديتر+فافونه+براص كور+اويل بم مع شفت+كوبلن بم كاز+مصفي+واشرات سلندر+بولبرنات+دشلي+تبديل كايدات+جراخه+</t>
  </si>
  <si>
    <t>زوج بطاريات</t>
  </si>
  <si>
    <t>واير+بوش</t>
  </si>
  <si>
    <t>اوتماتيك سلف</t>
  </si>
  <si>
    <t>ستيل واير 8 ملم</t>
  </si>
  <si>
    <t>بليت</t>
  </si>
  <si>
    <t>عمل سبلت</t>
  </si>
  <si>
    <t>كعكات+واشر ناظور</t>
  </si>
  <si>
    <t>واير</t>
  </si>
  <si>
    <t>زوج بطاريات+عمل سبلت+دبة مزيل</t>
  </si>
  <si>
    <t>تصليح سلف+تصليح بم+تبديل كايدات+جراخة كورات+بوش بستم+روكرات+اذان محرك+بوشة صندوق الدشالي+كور+ولفات+كايدات+طقم سبرنكات+فنجان كور+لقم+طقم بيرن بكن+هيدروليك 18 لتر+قفيص سوبر جارج</t>
  </si>
  <si>
    <t>زوج بطاريات+عمل سبلت</t>
  </si>
  <si>
    <t>اكسل+دعاميه خلفيه</t>
  </si>
  <si>
    <t>عمل واير سكليتر+اورنكات حراريه+هيدروليك 18 لتر</t>
  </si>
  <si>
    <t>قفايص+براغي+رواسط+سبرنك+مثلث فخذ+اجور عمل+جلكان دهن+سبروكت+روله+براغي+بليته+ترجيه وشفت ويل+قاعدة كرسي+ادوات احتياطيه متنوعه+فلنجه وواشرات+بولبرنات+طقم رنكات وبوش</t>
  </si>
  <si>
    <t>صيانة سلف مع داينمو</t>
  </si>
  <si>
    <t>رايمر سلندر و كرنك</t>
  </si>
  <si>
    <t>كتف بم+تصليح بكرة رجل</t>
  </si>
  <si>
    <t>تصليح سلف حفاره</t>
  </si>
  <si>
    <t>كايد ولف تخم واشر اجور تجفيت</t>
  </si>
  <si>
    <t>دسك امامي+اجور عمل</t>
  </si>
  <si>
    <t>اطارات عدد 8</t>
  </si>
  <si>
    <t>كبس صوندات+راديتر+بوري+جوين+قفايص+ماء راديتر+مقطر+كنترول رئيسي+برغي كور+بنطة اذن+اذان محرك+قبغ روله+سليف+تصليح براد دهن+هيدروليك مع تنظيف+ربط+زيت ديزل</t>
  </si>
  <si>
    <t>شفل جرافة كتربلر</t>
  </si>
  <si>
    <t>مخزن الدورة</t>
  </si>
  <si>
    <t>بطاريه عدد2+مادة غسل 2 دبه</t>
  </si>
  <si>
    <t>11 F 46601</t>
  </si>
  <si>
    <t>مهندس سعد</t>
  </si>
  <si>
    <t>11 F 46605</t>
  </si>
  <si>
    <t>11 F 46602</t>
  </si>
  <si>
    <t xml:space="preserve"> سمو بغداد الخضراء</t>
  </si>
  <si>
    <t>دسكات امامي+خلفي+عمل</t>
  </si>
  <si>
    <t>عبدالوهاب</t>
  </si>
  <si>
    <t>تصليح منظومة وقود+تبديل جامه امامي</t>
  </si>
  <si>
    <t>لاستيك دبل+فلنجات امامي+دهن هيدروليك+برغي مشط+درايف شفت ميزانيه+اجور عمل</t>
  </si>
  <si>
    <t>فان تبريد</t>
  </si>
  <si>
    <t>بطاريات عدد2</t>
  </si>
  <si>
    <t>اوتماتيك شفل+اجور عمل</t>
  </si>
  <si>
    <t>سرفة مان +دهن بريك+اجور عمل</t>
  </si>
  <si>
    <t>كمبريسر</t>
  </si>
  <si>
    <t>دسكات+بولبرن امامي+بنزات+كريز+تصفير فلنجات+اجور عمل</t>
  </si>
  <si>
    <t>بطارية ريمونت شونك</t>
  </si>
  <si>
    <t>عنبار ويل خلفي+عنبار بريك+دهن بريك+بور ستيرن+لاستيك ولف+جبنة تايمن+جبنة بيرن+دهن وفلتر+روله وضاغطه+سيليكون+كازكيت+بلكات+ماء راديتر+فلتر شوته+فلتر بنزين+قايش محرك+رولة تبريد+واشر نوزل+دهن بور ستيرن+تخم نوزلات+حساس صالنصه+حساس في في تي كور+اجور عمل كور+اجور عمل تجفيت محرك</t>
  </si>
  <si>
    <t>فلتر دهن+كاز+فيتبم</t>
  </si>
  <si>
    <t>كيج حماوه+برغي قبقاب+مرشحه+سن روتر+بيم روز+روله+سيروكين+طقم كازكيت اوفرهول+طقم واشرات+جبن متنوعه+فلاتر+شوته+سيليكون+كت واتربم+قبغ راديتر+شوتة هواء+كت سكين مع سيم+ربلات+كتات متنوعه+روله+صالنصه+استدات+بوشة ضاغطه+بوري كاز+بلك حماوه+كت تانكي هيدروليك+فلتر هيدروليك+كت ربلات+كيج اويل+واشر كونترول+لنكه مع قبقاب+رولة زنجيل علويه+كلبسات+بروجكتر+فيوزات+تيب+شريط+فيوز دحس+دكمه ستيل+لافته عرموطه</t>
  </si>
  <si>
    <t>جوين عكس+شوتة هواء+زوج اطارات</t>
  </si>
  <si>
    <t>ياسر</t>
  </si>
  <si>
    <t>صيانه مجانيه</t>
  </si>
  <si>
    <t>هيدروليك+صوندة تاروسه</t>
  </si>
  <si>
    <t>تخم واشر+فلتر+اجور عمل+تبديل قايش+كمبريسر+غاز</t>
  </si>
  <si>
    <t>جوزه+حاسبه+فبشه+كتف+اجور عمل+يدة عصا كير</t>
  </si>
  <si>
    <t>جوب + سفيفه</t>
  </si>
  <si>
    <t>جوزة عزم</t>
  </si>
  <si>
    <t>تجفيت صدر+اجور عمل+هيدروليك+بخاخ بنزين</t>
  </si>
  <si>
    <t>مرشحه+كت زنجيل+فلاتر+شوته+قبغ كاز</t>
  </si>
  <si>
    <t>فلاتر+شوته+قبغ كاز</t>
  </si>
  <si>
    <t>دبل بم+بم رباعي+كازكيت</t>
  </si>
  <si>
    <t>تبديل دهن+فلتر+دسكات+اجور عمل</t>
  </si>
  <si>
    <t>تبديل بولبرنات+تصليح سلف+تبديل بوش+اجور عمل+تبديل بوش+شونة هواء+تبديل ولفات+بيرن+اوفراول</t>
  </si>
  <si>
    <t>عبدالوهاب بدر</t>
  </si>
  <si>
    <t>18/10/2025</t>
  </si>
  <si>
    <t>تبديل زنجيل+لنكات+سبروكت+رولات+براغي جك</t>
  </si>
  <si>
    <t xml:space="preserve">جامه اماميه+دهن محرك+جبنة ويل خلفي+دهن بريك+ اجور عمل </t>
  </si>
  <si>
    <t xml:space="preserve">هيدروليك بم +صونده +عكس زاويه </t>
  </si>
  <si>
    <t>لنكه زنجيل +براغي+براغي قيقاب</t>
  </si>
  <si>
    <t>كشن+قبغ راديتر+تجفيت+نوزلات+اجور عمل +عمل قمجي+صونده+راديتر نحاس +فلتر دهن +كبس صونده+بكن +بستم +محرك+رنك+بوش</t>
  </si>
  <si>
    <t xml:space="preserve">تخم بوشر + بستم + رنك انجكتر + تشفيت انجكتر + رايمر +تخم واشرات + براد دهن محرك + سليكون +مواد محرك +تخم اذان محرك + قايش دينمو + راديتر ماء +دهن محرك +سوبر جارج +فلتر دهن + صونده بخاري + هيدروليك+سويل+تخم جبنه+كبس صوندة+فلتر راجع +قبغ سويل +فلاتر دهن + فلتر كاز </t>
  </si>
  <si>
    <t xml:space="preserve">بطاريه كوري </t>
  </si>
  <si>
    <t xml:space="preserve">داينمو </t>
  </si>
  <si>
    <t>بطاريه كوري</t>
  </si>
  <si>
    <t xml:space="preserve">بطل لودر +جوزة كهرباء  </t>
  </si>
  <si>
    <t xml:space="preserve">تجفيت جك + كرين + عمل تورنه +لحام +تعديل شفت </t>
  </si>
  <si>
    <t xml:space="preserve">زوج اطارات </t>
  </si>
  <si>
    <t xml:space="preserve">دينمو </t>
  </si>
  <si>
    <t xml:space="preserve">كبس صونده </t>
  </si>
  <si>
    <t xml:space="preserve">صونده </t>
  </si>
  <si>
    <t xml:space="preserve">حساس عربانه + جوزه +اجور عمل </t>
  </si>
  <si>
    <t xml:space="preserve">صونده بكره + صونده جك +صونده مزدوجه +تبديل جك + كرين + بوشه براص + تبديل بستم + تبديل بوش +رنكات +جبن متنوعه + تعديل سلندر+اجرة كرين 4 ايام +داف جلكان هيدروليك +صبغ + عمل +اجور عمل نقل السلايدات للرمل +تعديل كروم الجك +نقل كروم + الجل + ضرب رمل السلايدات </t>
  </si>
  <si>
    <t>جامه اماميه+اجور عمل+دهن+جبنه</t>
  </si>
  <si>
    <t xml:space="preserve">شراء نص محرك +جويانات ماء +قفايص +كندك + درنفايس + سلكون + كتر +داينمو +تبديل قاعده + تبديل بولبرنات +اجور عمل +قايش +تجفيت بم كاز ونوزلات +راديتر +اجور عمل +  سلف حفاره +بستم+رنك+مواد محرك + اوفرال+تبديل جبنه + ولف + فلتر دهن +زيت ديزل+جبنه+براد دهن +اجور عمل  +صونده عدد3                                                     </t>
  </si>
  <si>
    <t>زوج بطاريه</t>
  </si>
  <si>
    <t>تويوتا راف فور</t>
  </si>
  <si>
    <t xml:space="preserve">جلولاء </t>
  </si>
  <si>
    <t>حسام</t>
  </si>
  <si>
    <t>م. عبد المهيمن</t>
  </si>
  <si>
    <t>جلولاء</t>
  </si>
  <si>
    <t>جوبلس+قاعده+فلتر هواء+بخاخ+واشرات+تبديل جوبلس+كهربائيات+اجور عمل</t>
  </si>
  <si>
    <t>تصليح سلف و داينمو+تنظيف راديتر+بيم+اذان محرك</t>
  </si>
  <si>
    <t>جوين+قفايص+واشرات مضخه</t>
  </si>
  <si>
    <t>واشرات+مواد تجفيت محرك+جراخه+نوزلات+واشر بم+فلتر هواء</t>
  </si>
  <si>
    <t>اويل بم+رايمر+بوش+بوشة كامشفت</t>
  </si>
  <si>
    <t>صجمه+رباط سباعي</t>
  </si>
  <si>
    <t>كبس صونده+فلاتر</t>
  </si>
  <si>
    <t>اجور عمل تجفيت جك+هيدروليك</t>
  </si>
  <si>
    <t>نوزل+رايمر+بوش+جراخه+اويل بم+لاستيك ولف+فلسان+قوايش+سيت ولف+مواد تجفيت+كازكيت+جرخ كور+سيليكون</t>
  </si>
  <si>
    <t>تصليح سلف+واشر تامن كيس</t>
  </si>
  <si>
    <t>شراء كهربائيات +بطارية+اجور عمل</t>
  </si>
  <si>
    <t>جوب+اكس تي</t>
  </si>
  <si>
    <t>تجفيت جك اجور عمل</t>
  </si>
  <si>
    <t>شوته+تبديل دهن+بخاخ+اجور عمل+طاحونه</t>
  </si>
  <si>
    <t>كلج+اجور عمل</t>
  </si>
  <si>
    <t>سوبر جارج</t>
  </si>
  <si>
    <t>روله+لاينه+سكه+جوين+برغي+لاينه+صليب+قايش+بيم+بوشه+برغي قفل</t>
  </si>
  <si>
    <t>بيم+قاعدة سن+تب حفاره+مستر بيم+جوين</t>
  </si>
  <si>
    <t>جوبلس+دبل+واشر+اجور عمل</t>
  </si>
  <si>
    <t>سرفة كير+دهن بريك</t>
  </si>
  <si>
    <t>صالنصه+بوري+قفايص</t>
  </si>
  <si>
    <t>لانك مع بيم</t>
  </si>
  <si>
    <t>حلقة زنجيل+هلالس احمر+قفل زنجيل+اطار+صيانة سلايد</t>
  </si>
  <si>
    <t>جاملغ+لاستيك جاملغ+دهن+فلاتر+مبخره+روله+قايش+فلتر+جوين+حاسبه+ماء راديتر+اجور عمل</t>
  </si>
  <si>
    <t>روط+راس روط+دهن+جامة لايت+بك لايت+سكن لايت+اجور عمل</t>
  </si>
  <si>
    <t>قاعدة سن+تب سن+تب سن حجري+بيم+واشر</t>
  </si>
  <si>
    <t>تجفيت جكات+داينمو</t>
  </si>
  <si>
    <t>صيانه+جوين+خرطوم</t>
  </si>
  <si>
    <t>عمل كيلة شفل حجم 90</t>
  </si>
  <si>
    <t>تجفيت انجكتر+تبديل ابر+تخم واشرات</t>
  </si>
  <si>
    <t>قاعدة سن كيله+تيب سن+بيم+واشر+سيلين V24مكاين</t>
  </si>
  <si>
    <t>كتف خماسي</t>
  </si>
  <si>
    <t>عنبار ويل+اجور فتح ويلات</t>
  </si>
  <si>
    <t>عينه+صينيه</t>
  </si>
  <si>
    <t>صونده+قفايص</t>
  </si>
  <si>
    <t>راديتر+تشييش</t>
  </si>
  <si>
    <t>تجفيت بم +تبديل كايدو ولفات+تعيار بم+تبديل طخم نوزلات</t>
  </si>
  <si>
    <t>قبغ باتري+بطانة باب+جاملغ و هلال و شبجة شباك</t>
  </si>
  <si>
    <t>مفتاح كريدر</t>
  </si>
  <si>
    <t>قايش</t>
  </si>
  <si>
    <t>كاترجات بم+شفت+كت رفع+بولبرن الرفع+اجور عمل</t>
  </si>
  <si>
    <t>كتف داينمو+مواد صدر+شوته+ماسحات+دهن+اجور عمل</t>
  </si>
  <si>
    <t>فلتر هيدروليك+تاروسه</t>
  </si>
  <si>
    <t>تجفيت محرك+قاعدة شوته</t>
  </si>
  <si>
    <t xml:space="preserve">تريله  سكانيا- سكس ويل   </t>
  </si>
  <si>
    <t>صبغ</t>
  </si>
  <si>
    <t>سن+قاعدة شفل+بيم+سجه+اجور عمل فيتر فتح بم</t>
  </si>
  <si>
    <t>يدة بنيد+جاملغ خلفي+اشاره+جاملغ امامي+تانكي ماء+تصليح جك و مدكة قماره+تبديل قفل وصوندة قماره +دوشمه تفصيخ+سمكره+كصة قماره+حداد+عمل صندوق عربانهبوش رواط+اجور عمل+براغي+تورنه+روط ستيرن+راس روط+اجور عمل</t>
  </si>
  <si>
    <t>دهن+فلتر+لايت+بلوجكترات+شباك امامي</t>
  </si>
  <si>
    <t>رولة قايش+قايش مزدوج</t>
  </si>
  <si>
    <t>جراخة كور مع كايد مع كراين+شراء فلسان كور+جراخة كرنك+تبديل بوش كمشفت+تبديل كوجن بيم+فحص+تجفيت بم مع النوزلات+كايد+ولف+نوزلات+واشر+اجور عمل+كوجم بين+تجفيت محرك</t>
  </si>
  <si>
    <t>لنكه عدد3+روله علويه+بيم زنجيل+مستر بيم</t>
  </si>
  <si>
    <t>داينمو+قاعدة كنديسر+فحص جهاز+تصليح كهربائيات+اطارات</t>
  </si>
  <si>
    <t>اطار+دهن و فلتر</t>
  </si>
  <si>
    <t>قبق ادبلو</t>
  </si>
  <si>
    <t>صونده+هورن+جوزه</t>
  </si>
  <si>
    <t>كير+دهن+اجرة سياره+كرين</t>
  </si>
  <si>
    <t>طرمبة كاز+قاعدة فلتر كاز</t>
  </si>
  <si>
    <t>زوج اطارات+دهن وفلتر+سلف كيا</t>
  </si>
  <si>
    <t>بوشه</t>
  </si>
  <si>
    <t>تريله اكتروز  17586</t>
  </si>
  <si>
    <t>22 L 29192</t>
  </si>
  <si>
    <t>صبغ بودي</t>
  </si>
  <si>
    <t>ربط هيدروليك جهاز كرين+كبس صوندات+زبانه+قفل+طبشة تعشيق+مضخة هيدروليك+برمجة حاسبه+اطار مع ويل سبير+ربلات جك+برميل هيدروليك+عمل كهربائيات+خزان ماء+قاعدة سبير+براغي جرار+فلاتر2 طخم+مواد كهربائيه +كماليات+اجور عمل مع اكرامية عمال</t>
  </si>
  <si>
    <t>13/1/2026</t>
  </si>
  <si>
    <t>تصليح طوافه+عمل فتحة فيتبم</t>
  </si>
  <si>
    <t>فلاتر+دهن+اجور عمل نوزل+تبديل نوزل اكتروز+واشرات</t>
  </si>
  <si>
    <t>عنبار+كلج+دهن بريك+صدر+اجور عمل+رولات+سيت ولف قماره+دبل+قفل قماره+صوندات+حساس+اجور عمل صباغ</t>
  </si>
  <si>
    <t>رباط+قايش مزدوج+فلتر كاز</t>
  </si>
  <si>
    <t>تصليح كهربائيات+تبديل هورن+اجور عمل</t>
  </si>
  <si>
    <t>روله+جبنه+قايش</t>
  </si>
  <si>
    <t>تصليح كهربائيات</t>
  </si>
  <si>
    <t>لافته+فدراليه+مرايه</t>
  </si>
  <si>
    <t>كبس صونده</t>
  </si>
  <si>
    <t>هورن+نشره</t>
  </si>
  <si>
    <t>بم شفل+بم ثانوي+بم مشي</t>
  </si>
  <si>
    <t>زنجيل+سفيفه</t>
  </si>
  <si>
    <t>فيتبم</t>
  </si>
  <si>
    <t>سن حفاره</t>
  </si>
  <si>
    <t>قاعدة درام واير</t>
  </si>
  <si>
    <t>اجور عمل زنجيل</t>
  </si>
  <si>
    <t>JCB حجم كبير</t>
  </si>
  <si>
    <t>C23987</t>
  </si>
  <si>
    <t xml:space="preserve">وليد خالد </t>
  </si>
  <si>
    <t>كرين - هياب - سكانيا</t>
  </si>
  <si>
    <t xml:space="preserve"> C 24000</t>
  </si>
  <si>
    <t>C 24135</t>
  </si>
  <si>
    <t>C 24283</t>
  </si>
  <si>
    <t>شفل</t>
  </si>
  <si>
    <t>35862 - N</t>
  </si>
  <si>
    <t>17/1/2026</t>
  </si>
  <si>
    <t>كهربائيات+كماليات+كفر صالنصه+كب امامي و خلفي+ستدات+قفايص+بوش+اجور عمل+جراخه</t>
  </si>
  <si>
    <t>سجة شفل</t>
  </si>
  <si>
    <t>صونده 4 متر دبل فلنجه+صونده19+ووتر بم</t>
  </si>
  <si>
    <t>سيم كيلون+يدة باب</t>
  </si>
  <si>
    <t>زوج اطارات+ زوج بطاريات</t>
  </si>
  <si>
    <t>جوين+كهربائيات</t>
  </si>
  <si>
    <t>سبروكت+بطل جك+لاينه+بوش+تخم جبنه+تعديل شفت+اجور عمل</t>
  </si>
  <si>
    <t>كهربائيات+فلاتر كاز ودهن</t>
  </si>
  <si>
    <t>لاينه+مواد للعمل+كهربائيات</t>
  </si>
  <si>
    <t>كهربائيات+يدة سايد بريك+كهربائيات+بوش+اجور عمل+اجور عمل شيال كاردن</t>
  </si>
  <si>
    <t>اجور فتح وشد كير</t>
  </si>
  <si>
    <t>بطاريه عدد2+شوتة هواء+فلسان+مواد للعمل+جوينات+اجور تجفيت محرك+اجور فتح وشد كير</t>
  </si>
  <si>
    <t>29/1/2026</t>
  </si>
  <si>
    <t xml:space="preserve">كهربائيات </t>
  </si>
  <si>
    <t>ستيل واير</t>
  </si>
  <si>
    <t>دهن+فلاتر+اجور فتح انجكترات+نوزلات+مواد متفرقه+اجور عمل+فحص +جراخه+تبديل كور+تبديل ولفات+شوتة هواء+انجكتر اكتروس+</t>
  </si>
  <si>
    <t>شوته+حساس بيئه</t>
  </si>
  <si>
    <t>شوته+اشارة دعاميه</t>
  </si>
  <si>
    <t>14/2/2026</t>
  </si>
  <si>
    <t>تصليح مكينة جام</t>
  </si>
  <si>
    <t>جامرلغ+بك لايت+كلوبات+اجور عمل</t>
  </si>
  <si>
    <t>بنيد</t>
  </si>
  <si>
    <t>قمجي+يده+بك لايت+بلاجكتور+بخاخ+واير+لافتات</t>
  </si>
  <si>
    <t>انجكتر+نقل+اجور عمل</t>
  </si>
  <si>
    <t>لزكه شمسيه+فايبر كلاس+جامه اماميه+جك+حداده+زوج بك لايت+براغي+هيدروليك+اجور عمل</t>
  </si>
  <si>
    <t>فلتر دهن+مصفي خباطه+قطرة دبه ستيرن</t>
  </si>
  <si>
    <t>بكرات واير عدد 3</t>
  </si>
  <si>
    <t>يدة باب+قايش+روله+ربلات+بلاجكتور+فحص حاسبه+اجور عمل+جامه اماميه</t>
  </si>
  <si>
    <t>جراخة بوش كوجمبيم+دهن+فحص حاسبه+تصليح مسطره+فتح نوزل المسطره+تخم واشرات+بلكات+واشرات+شرايط+اويل بم+صجمه+شوتة اسطواني+اجور عمل</t>
  </si>
  <si>
    <t>شوته+عطر</t>
  </si>
  <si>
    <t>مواد كهربائيه</t>
  </si>
  <si>
    <t>خباطة كونكريت مرسيدس</t>
  </si>
  <si>
    <t>خباطة كونكريت - مرسيدس</t>
  </si>
  <si>
    <t>روبن+فلاتر+كماليات+ماسحه امامي و خلفي</t>
  </si>
  <si>
    <t>لزكات+ارضيات+شوته+تخم فلاتر+فحص حاسبه+سستم ادبلو+جلي ويلات+كهربائيات+تبديل اطارات+اجور نقل</t>
  </si>
  <si>
    <t>دهن+فلتر+ماء</t>
  </si>
  <si>
    <t xml:space="preserve"> 11733  د  بغداد</t>
  </si>
  <si>
    <t>52164 ن بغداد</t>
  </si>
  <si>
    <t>دهن+فلاتر دهن وتبريد وشوته+ماء راديتر</t>
  </si>
  <si>
    <t>دهن+فلتر+فلتر شوته</t>
  </si>
  <si>
    <t>تصليح جامه اماميه+دهن وفلتر+تبديل شاشه رئيسيه</t>
  </si>
  <si>
    <t xml:space="preserve">تجفيت جكات ربل + بولش +اجور عرباين </t>
  </si>
  <si>
    <t xml:space="preserve">لايت+جاملغ+ماسكه+كفر مرايه </t>
  </si>
  <si>
    <t xml:space="preserve">دشلي قفل ستيرن </t>
  </si>
  <si>
    <t xml:space="preserve">بنزات+تبديل بنزات +تانكي كاز +لحيم تانكي كاز </t>
  </si>
  <si>
    <t>تصفير شاشه مع برنامج</t>
  </si>
  <si>
    <t xml:space="preserve">جوزة طاحونه </t>
  </si>
  <si>
    <t>كهربائيات +مصابيح</t>
  </si>
  <si>
    <t xml:space="preserve">كهربائيات متنوعه </t>
  </si>
  <si>
    <t>مروحه</t>
  </si>
  <si>
    <t xml:space="preserve">دبة دهن + فلتر دهن + فلتر كاز </t>
  </si>
  <si>
    <t xml:space="preserve">لافته اصليه + بك كرستال </t>
  </si>
  <si>
    <t xml:space="preserve">شريط دبل قماره </t>
  </si>
  <si>
    <t>جوب قماره عدد 2</t>
  </si>
  <si>
    <t xml:space="preserve">بوش </t>
  </si>
  <si>
    <t xml:space="preserve">شريط دبل+ جاملغ امامي </t>
  </si>
  <si>
    <t>حساس قماره + اجور عمل +تبديل قيمرات+شراء سبايدر + نشره</t>
  </si>
  <si>
    <t xml:space="preserve">تسديد حساب عن قيمة مضخات </t>
  </si>
  <si>
    <t>زنجيل فولاذ +حلقه مزدوجه كبيره +قفل فولاذ +هوك فولاذ</t>
  </si>
  <si>
    <t>بطاريه 150 امبير عدد4</t>
  </si>
  <si>
    <t>سرفة كلج+جوزه +اجور عمل</t>
  </si>
  <si>
    <t>دهن+فلاتر+ادامه</t>
  </si>
  <si>
    <t>18/3/2026</t>
  </si>
  <si>
    <t>تصليح مكينة رفع جام +فافونة راديتر+زبانة هواء+لبة كاز+لبة دهن+دهن+تشييش راديتر</t>
  </si>
  <si>
    <t>موزع هواء+واشرات اي بي اس+قفل باب+بوشه+رباط+صونده+عمل تورنه+بنجر+اجور عمل</t>
  </si>
  <si>
    <t>قاطع دوره+فحص كومبيوتر+قبغ و لاستيك جاملغ</t>
  </si>
  <si>
    <t xml:space="preserve">تريله اكتروز  196495 </t>
  </si>
  <si>
    <t>تصليح كهربائيات+اجور عمل</t>
  </si>
  <si>
    <t>كهربائيات+اجور عمل</t>
  </si>
  <si>
    <t>زوج اطارات+اجور فيتر</t>
  </si>
  <si>
    <t>C8365</t>
  </si>
  <si>
    <t>شفل بوب كات</t>
  </si>
  <si>
    <t>شركة القبس للمقاولات</t>
  </si>
  <si>
    <t>تشييش راديتر+لحيم راس باتري+جوين+بنجر+كت كير كامل+طقم جك ستيرن+فلاتر+مبردة كير+لايت+رنك كبوس+كاترج+كت واشرات بم+شوته اصليه+فلاتر</t>
  </si>
  <si>
    <t>C 22730- شفل بوبكات</t>
  </si>
  <si>
    <t>C 22730</t>
  </si>
  <si>
    <t>صيانه+درع+دبة ماء</t>
  </si>
  <si>
    <t>18/4/2026</t>
  </si>
  <si>
    <t>سبروكت+رولات+ماستربيج</t>
  </si>
  <si>
    <t>هندل</t>
  </si>
  <si>
    <t>برينه</t>
  </si>
  <si>
    <t>سوبر3 نحاس</t>
  </si>
  <si>
    <t>اويل بم</t>
  </si>
  <si>
    <t>ولف حماوه+ماء راديتر+ماء مقطر+عصفوره جوبلس+هيدروليك+عمل</t>
  </si>
  <si>
    <t>مدكه رفع</t>
  </si>
  <si>
    <t>ماطور بنكو</t>
  </si>
  <si>
    <t>حساس+فيشه+حاسه+دكمة جام+اجرة كهربائي</t>
  </si>
  <si>
    <t>بوشة جبنه+سليكون+تشييش راديتر+بخاخ+ماء راديتر+اجور عمل</t>
  </si>
  <si>
    <t>جوين</t>
  </si>
  <si>
    <t>عقل كير جديد</t>
  </si>
  <si>
    <t>دسك امامي+تصفير فلنجات+اجور عمل</t>
  </si>
  <si>
    <t>سلف +كتف + جوزه + كلبس+واشر فلنجه+اجور عمل كهربائي</t>
  </si>
  <si>
    <t>تصليح اكسل+تبديل فلاوين+بطاريه+اذانات محرك+بلنص+غسل</t>
  </si>
  <si>
    <t>تبديل دهن+فلاتر+ماء راديتر+تنظيف جويتر+بطاريه</t>
  </si>
  <si>
    <t>تبديل دهن محرك+كير+فلاتر</t>
  </si>
  <si>
    <t>فلاتر عدد2</t>
  </si>
  <si>
    <t>بوري جك ثانوي</t>
  </si>
  <si>
    <t>رولة دافعه+ماشة ويل+روله اسفل+روله اعلى</t>
  </si>
  <si>
    <t>بوش جك همر عدد 4 +بطاريه عدد2</t>
  </si>
  <si>
    <t>بطاريه عدد2</t>
  </si>
  <si>
    <t>تكر كامل مع الشفت+تجفيت جكات صاعد نازل+اجور عمل+طابوكة ولف</t>
  </si>
  <si>
    <t>شيال كاردن+صليب++اجور عمل+زوجين اطارات+فلاتر</t>
  </si>
  <si>
    <t>بليت 10-12 ملم + اجور عمل حداد</t>
  </si>
  <si>
    <t>فلتر دهن عدد 4+اجور عمل فيتر</t>
  </si>
  <si>
    <t>14/5/2026</t>
  </si>
  <si>
    <t>غاز تبريد+فلتر</t>
  </si>
  <si>
    <t>19/5/2026</t>
  </si>
  <si>
    <t>18/5/2026</t>
  </si>
  <si>
    <t>مقياس هيدروليك محسن+تجفيت جكات طاب طالع+تبديل اورنكات+طوابيك و ولفات جكات صاعد نازل+جبنة اكسل+بولبرن+بنزات+مواد كهربائيه+تورنجي+اورنكات كبيره+شفت براص+اجور عمل</t>
  </si>
  <si>
    <t>جادر+صوندة بم4متر</t>
  </si>
  <si>
    <t>فان كيا</t>
  </si>
  <si>
    <t>تبريد</t>
  </si>
  <si>
    <t>جوبلس حديث</t>
  </si>
  <si>
    <t>تجفيت جك بم رئيسي مع تبديل ولف صمام و جبن</t>
  </si>
  <si>
    <t>روله دافعه+ماشة ويل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</si>
</sst>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\ [$د.ع.‏-801]"/>
    <numFmt numFmtId="166" formatCode="&quot;$&quot;#,##0"/>
    <numFmt numFmtId="167" formatCode="yyyy\-mm\-dd;@"/>
    <numFmt numFmtId="168" formatCode="_(&quot;$&quot;* #,##0_);_(&quot;$&quot;* \(#,##0\);_(&quot;$&quot;* &quot;-&quot;??_);_(@_)"/>
  </numFmts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scheme val="minor"/>
    </font>
    <font>
      <u/>
      <sz val="13"/>
      <color theme="1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u/>
      <sz val="13"/>
      <color theme="10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3"/>
      <color indexed="8"/>
      <name val="Calibri"/>
      <family val="2"/>
      <scheme val="minor"/>
    </font>
    <font>
      <sz val="13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219">
    <xf numFmtId="0" fontId="0" fillId="0" borderId="0" xfId="0"/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166" fontId="7" fillId="3" borderId="1" xfId="3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7" fontId="7" fillId="5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6" fontId="7" fillId="5" borderId="1" xfId="3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readingOrder="2"/>
    </xf>
    <xf numFmtId="167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3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6" fillId="5" borderId="1" xfId="3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readingOrder="1"/>
    </xf>
    <xf numFmtId="14" fontId="6" fillId="5" borderId="1" xfId="0" applyNumberFormat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6" fontId="6" fillId="4" borderId="1" xfId="3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6" fontId="10" fillId="4" borderId="1" xfId="3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readingOrder="2"/>
    </xf>
    <xf numFmtId="166" fontId="10" fillId="0" borderId="1" xfId="3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4" borderId="1" xfId="1" applyFont="1" applyFill="1" applyBorder="1" applyAlignment="1">
      <alignment horizontal="center" vertical="center" readingOrder="2"/>
    </xf>
    <xf numFmtId="0" fontId="5" fillId="4" borderId="1" xfId="1" applyFont="1" applyFill="1" applyBorder="1" applyAlignment="1">
      <alignment horizontal="center" vertical="center" wrapText="1" readingOrder="2"/>
    </xf>
    <xf numFmtId="166" fontId="6" fillId="0" borderId="1" xfId="3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166" fontId="6" fillId="8" borderId="1" xfId="3" applyNumberFormat="1" applyFont="1" applyFill="1" applyBorder="1" applyAlignment="1">
      <alignment horizontal="center" vertical="center"/>
    </xf>
    <xf numFmtId="167" fontId="6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3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2" applyNumberFormat="1" applyFont="1" applyBorder="1" applyAlignment="1">
      <alignment horizontal="center" vertical="center"/>
    </xf>
    <xf numFmtId="0" fontId="7" fillId="4" borderId="1" xfId="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7" fillId="4" borderId="1" xfId="2" applyNumberFormat="1" applyFont="1" applyFill="1" applyBorder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3" fontId="7" fillId="4" borderId="1" xfId="2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65" fontId="7" fillId="2" borderId="4" xfId="2" applyNumberFormat="1" applyFont="1" applyFill="1" applyBorder="1" applyAlignment="1">
      <alignment horizontal="center" vertical="center" wrapText="1"/>
    </xf>
    <xf numFmtId="166" fontId="7" fillId="2" borderId="4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5" fontId="15" fillId="0" borderId="1" xfId="2" applyNumberFormat="1" applyFont="1" applyBorder="1" applyAlignment="1">
      <alignment horizontal="center" vertical="center"/>
    </xf>
    <xf numFmtId="166" fontId="15" fillId="0" borderId="1" xfId="3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2" applyNumberFormat="1" applyFont="1" applyFill="1" applyBorder="1" applyAlignment="1">
      <alignment horizontal="center" vertical="center"/>
    </xf>
    <xf numFmtId="166" fontId="15" fillId="3" borderId="1" xfId="3" applyNumberFormat="1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5" fontId="15" fillId="0" borderId="0" xfId="2" applyNumberFormat="1" applyFont="1" applyAlignment="1">
      <alignment horizontal="center" vertical="center"/>
    </xf>
    <xf numFmtId="166" fontId="15" fillId="0" borderId="0" xfId="3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5" fontId="6" fillId="3" borderId="1" xfId="2" applyNumberFormat="1" applyFont="1" applyFill="1" applyBorder="1" applyAlignment="1">
      <alignment horizontal="center" vertical="center"/>
    </xf>
    <xf numFmtId="166" fontId="6" fillId="3" borderId="1" xfId="3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readingOrder="2"/>
    </xf>
    <xf numFmtId="165" fontId="15" fillId="3" borderId="1" xfId="0" applyNumberFormat="1" applyFont="1" applyFill="1" applyBorder="1" applyAlignment="1">
      <alignment horizontal="center" vertical="center"/>
    </xf>
    <xf numFmtId="166" fontId="15" fillId="3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9" fontId="6" fillId="0" borderId="1" xfId="9" applyFont="1" applyBorder="1" applyAlignment="1">
      <alignment horizontal="center" vertical="center" wrapText="1"/>
    </xf>
    <xf numFmtId="165" fontId="6" fillId="0" borderId="1" xfId="2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65" fontId="15" fillId="0" borderId="1" xfId="2" applyNumberFormat="1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1" xfId="3" applyNumberFormat="1" applyFont="1" applyFill="1" applyBorder="1" applyAlignment="1">
      <alignment horizontal="center" vertical="center"/>
    </xf>
    <xf numFmtId="0" fontId="6" fillId="4" borderId="1" xfId="2" applyNumberFormat="1" applyFont="1" applyFill="1" applyBorder="1" applyAlignment="1">
      <alignment horizontal="center" vertical="center"/>
    </xf>
    <xf numFmtId="0" fontId="6" fillId="0" borderId="1" xfId="3" applyNumberFormat="1" applyFont="1" applyBorder="1" applyAlignment="1">
      <alignment horizontal="center" vertical="center"/>
    </xf>
    <xf numFmtId="3" fontId="6" fillId="4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65" fontId="7" fillId="0" borderId="1" xfId="2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64" fontId="6" fillId="0" borderId="1" xfId="2" applyNumberFormat="1" applyFont="1" applyBorder="1" applyAlignment="1">
      <alignment horizontal="center" vertical="center" wrapText="1"/>
    </xf>
    <xf numFmtId="0" fontId="6" fillId="0" borderId="1" xfId="2" applyNumberFormat="1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14" fontId="6" fillId="0" borderId="1" xfId="0" applyNumberFormat="1" applyFont="1" applyBorder="1"/>
    <xf numFmtId="168" fontId="6" fillId="0" borderId="1" xfId="3" applyNumberFormat="1" applyFont="1" applyBorder="1"/>
    <xf numFmtId="0" fontId="15" fillId="0" borderId="6" xfId="0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65" fontId="15" fillId="0" borderId="6" xfId="2" applyNumberFormat="1" applyFont="1" applyBorder="1" applyAlignment="1">
      <alignment horizontal="center" vertical="center"/>
    </xf>
    <xf numFmtId="166" fontId="15" fillId="0" borderId="6" xfId="3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5" fontId="7" fillId="2" borderId="1" xfId="2" applyNumberFormat="1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center" vertical="center"/>
    </xf>
    <xf numFmtId="165" fontId="7" fillId="0" borderId="1" xfId="2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65" fontId="8" fillId="3" borderId="1" xfId="2" applyNumberFormat="1" applyFont="1" applyFill="1" applyBorder="1" applyAlignment="1">
      <alignment horizontal="center" vertical="center"/>
    </xf>
    <xf numFmtId="166" fontId="10" fillId="3" borderId="1" xfId="3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165" fontId="6" fillId="0" borderId="0" xfId="2" applyNumberFormat="1" applyFont="1" applyBorder="1" applyAlignment="1">
      <alignment horizontal="center" vertical="center"/>
    </xf>
    <xf numFmtId="166" fontId="6" fillId="0" borderId="0" xfId="3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165" fontId="7" fillId="3" borderId="1" xfId="2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readingOrder="2"/>
    </xf>
    <xf numFmtId="0" fontId="8" fillId="4" borderId="1" xfId="0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readingOrder="2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5" fontId="15" fillId="0" borderId="4" xfId="2" applyNumberFormat="1" applyFont="1" applyBorder="1" applyAlignment="1">
      <alignment horizontal="center" vertical="center"/>
    </xf>
    <xf numFmtId="166" fontId="15" fillId="0" borderId="4" xfId="0" applyNumberFormat="1" applyFont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0" fontId="7" fillId="0" borderId="1" xfId="2" applyNumberFormat="1" applyFont="1" applyBorder="1" applyAlignment="1">
      <alignment horizontal="center" vertical="center"/>
    </xf>
    <xf numFmtId="166" fontId="6" fillId="0" borderId="1" xfId="2" applyNumberFormat="1" applyFont="1" applyBorder="1" applyAlignment="1">
      <alignment horizontal="center" vertical="center"/>
    </xf>
    <xf numFmtId="166" fontId="6" fillId="3" borderId="1" xfId="2" applyNumberFormat="1" applyFont="1" applyFill="1" applyBorder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44" fontId="15" fillId="0" borderId="1" xfId="3" applyFont="1" applyBorder="1" applyAlignment="1">
      <alignment horizontal="center" vertical="center"/>
    </xf>
    <xf numFmtId="0" fontId="1" fillId="0" borderId="1" xfId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</cellXfs>
  <cellStyles count="10">
    <cellStyle name="60% - Accent1 2" xfId="4" xr:uid="{00000000-0005-0000-0000-000000000000}"/>
    <cellStyle name="60% - Accent4 2" xfId="5" xr:uid="{00000000-0005-0000-0000-000001000000}"/>
    <cellStyle name="Comma" xfId="2" builtinId="3"/>
    <cellStyle name="Currency" xfId="3" builtinId="4"/>
    <cellStyle name="Hyperlink" xfId="1" builtinId="8"/>
    <cellStyle name="Normal" xfId="0" builtinId="0"/>
    <cellStyle name="Normal 2" xfId="6" xr:uid="{00000000-0005-0000-0000-000006000000}"/>
    <cellStyle name="Normal 3" xfId="7" xr:uid="{00000000-0005-0000-0000-000007000000}"/>
    <cellStyle name="Normal 5" xfId="8" xr:uid="{00000000-0005-0000-0000-000008000000}"/>
    <cellStyle name="Percent" xfId="9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1292225</xdr:colOff>
      <xdr:row>74</xdr:row>
      <xdr:rowOff>174625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014179607" y="9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C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8"/>
  <sheetViews>
    <sheetView rightToLeft="1" tabSelected="1" view="pageBreakPreview" topLeftCell="A121" zoomScale="80" zoomScaleNormal="100" zoomScaleSheetLayoutView="80" workbookViewId="0">
      <selection sqref="A1:L1"/>
    </sheetView>
  </sheetViews>
  <sheetFormatPr defaultColWidth="9.109375" defaultRowHeight="24.6" customHeight="1"/>
  <cols>
    <col min="1" max="1" width="8.33203125" style="1" bestFit="1" customWidth="1"/>
    <col min="2" max="2" width="31.88671875" style="73" bestFit="1" customWidth="1"/>
    <col min="3" max="3" width="20.88671875" style="1" bestFit="1" customWidth="1"/>
    <col min="4" max="4" width="12.5546875" style="1" bestFit="1" customWidth="1"/>
    <col min="5" max="5" width="21.44140625" style="1" bestFit="1" customWidth="1"/>
    <col min="6" max="6" width="20" style="74" bestFit="1" customWidth="1"/>
    <col min="7" max="7" width="12.77734375" style="75" bestFit="1" customWidth="1"/>
    <col min="8" max="8" width="15" style="76" bestFit="1" customWidth="1"/>
    <col min="9" max="9" width="15.5546875" style="1" bestFit="1" customWidth="1"/>
    <col min="10" max="10" width="15.6640625" style="77" bestFit="1" customWidth="1"/>
    <col min="11" max="11" width="17.6640625" style="78" bestFit="1" customWidth="1"/>
    <col min="12" max="12" width="18.109375" style="79" customWidth="1"/>
    <col min="13" max="13" width="16.109375" style="1" bestFit="1" customWidth="1"/>
    <col min="14" max="16384" width="9.109375" style="1"/>
  </cols>
  <sheetData>
    <row r="1" spans="1:12" ht="24.6" customHeight="1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34.799999999999997">
      <c r="A2" s="2" t="s">
        <v>255</v>
      </c>
      <c r="B2" s="3" t="s">
        <v>3</v>
      </c>
      <c r="C2" s="2" t="s">
        <v>7</v>
      </c>
      <c r="D2" s="2" t="s">
        <v>8</v>
      </c>
      <c r="E2" s="2" t="s">
        <v>68</v>
      </c>
      <c r="F2" s="4" t="s">
        <v>69</v>
      </c>
      <c r="G2" s="3" t="s">
        <v>818</v>
      </c>
      <c r="H2" s="5" t="s">
        <v>469</v>
      </c>
      <c r="I2" s="2" t="s">
        <v>6</v>
      </c>
      <c r="J2" s="6" t="s">
        <v>872</v>
      </c>
      <c r="K2" s="7" t="s">
        <v>5</v>
      </c>
      <c r="L2" s="8" t="s">
        <v>4</v>
      </c>
    </row>
    <row r="3" spans="1:12" s="16" customFormat="1" ht="24.6" customHeight="1">
      <c r="A3" s="200" t="s">
        <v>836</v>
      </c>
      <c r="B3" s="200"/>
      <c r="C3" s="200"/>
      <c r="D3" s="9"/>
      <c r="E3" s="9"/>
      <c r="F3" s="10"/>
      <c r="G3" s="11">
        <v>46177</v>
      </c>
      <c r="H3" s="12"/>
      <c r="I3" s="9"/>
      <c r="J3" s="13"/>
      <c r="K3" s="14"/>
      <c r="L3" s="15"/>
    </row>
    <row r="4" spans="1:12" s="16" customFormat="1" ht="24.6" customHeight="1">
      <c r="A4" s="17">
        <v>1</v>
      </c>
      <c r="B4" s="18" t="s">
        <v>63</v>
      </c>
      <c r="C4" s="19" t="s">
        <v>832</v>
      </c>
      <c r="D4" s="17">
        <v>2018</v>
      </c>
      <c r="E4" s="17" t="s">
        <v>1251</v>
      </c>
      <c r="F4" s="20">
        <f>DATE(2028,7,18)</f>
        <v>46952</v>
      </c>
      <c r="G4" s="21" t="str">
        <f t="shared" ref="G4:G9" ca="1" si="0">IF(F4&lt;NOW(),"تنبية","")</f>
        <v/>
      </c>
      <c r="H4" s="22" t="s">
        <v>470</v>
      </c>
      <c r="I4" s="17" t="s">
        <v>104</v>
      </c>
      <c r="J4" s="23">
        <f>'توسان 88707'!I5</f>
        <v>126000</v>
      </c>
      <c r="K4" s="24">
        <f>'توسان 88707'!F98</f>
        <v>2202500</v>
      </c>
      <c r="L4" s="25">
        <f>'توسان 88707'!G98</f>
        <v>0</v>
      </c>
    </row>
    <row r="5" spans="1:12" s="16" customFormat="1" ht="24.6" customHeight="1">
      <c r="A5" s="17">
        <v>2</v>
      </c>
      <c r="B5" s="18" t="s">
        <v>821</v>
      </c>
      <c r="C5" s="26" t="s">
        <v>817</v>
      </c>
      <c r="D5" s="17">
        <v>2019</v>
      </c>
      <c r="E5" s="17" t="s">
        <v>1251</v>
      </c>
      <c r="F5" s="20">
        <v>47406</v>
      </c>
      <c r="G5" s="21"/>
      <c r="H5" s="22" t="s">
        <v>470</v>
      </c>
      <c r="I5" s="17" t="s">
        <v>108</v>
      </c>
      <c r="J5" s="23">
        <f>' 11 A 71993 تويوتا بيك اب'!I5</f>
        <v>81700</v>
      </c>
      <c r="K5" s="24">
        <f>' 11 A 71993 تويوتا بيك اب'!F51</f>
        <v>2638000</v>
      </c>
      <c r="L5" s="25">
        <f>' 11 A 71993 تويوتا بيك اب'!G51</f>
        <v>0</v>
      </c>
    </row>
    <row r="6" spans="1:12" s="16" customFormat="1" ht="24.6" customHeight="1">
      <c r="A6" s="17">
        <v>3</v>
      </c>
      <c r="B6" s="18" t="s">
        <v>819</v>
      </c>
      <c r="C6" s="26" t="s">
        <v>825</v>
      </c>
      <c r="D6" s="17">
        <v>2021</v>
      </c>
      <c r="E6" s="17" t="s">
        <v>826</v>
      </c>
      <c r="F6" s="20">
        <f>DATE(2030,7,25)</f>
        <v>47689</v>
      </c>
      <c r="G6" s="21" t="str">
        <f t="shared" ca="1" si="0"/>
        <v/>
      </c>
      <c r="H6" s="22" t="s">
        <v>470</v>
      </c>
      <c r="I6" s="17" t="s">
        <v>158</v>
      </c>
      <c r="J6" s="23">
        <f>'11 W 8011 تاهو'!I5</f>
        <v>0</v>
      </c>
      <c r="K6" s="24">
        <f>'11 W 8011 تاهو'!F35</f>
        <v>6548500</v>
      </c>
      <c r="L6" s="25">
        <f>'11 W 8011 تاهو'!G35</f>
        <v>1440</v>
      </c>
    </row>
    <row r="7" spans="1:12" s="16" customFormat="1" ht="24.6" customHeight="1">
      <c r="A7" s="17">
        <v>4</v>
      </c>
      <c r="B7" s="18" t="s">
        <v>820</v>
      </c>
      <c r="C7" s="19" t="s">
        <v>1215</v>
      </c>
      <c r="D7" s="17">
        <v>2009</v>
      </c>
      <c r="E7" s="17" t="s">
        <v>1251</v>
      </c>
      <c r="F7" s="20">
        <f>DATE(2027,11,22)</f>
        <v>46713</v>
      </c>
      <c r="G7" s="21" t="str">
        <f t="shared" ca="1" si="0"/>
        <v/>
      </c>
      <c r="H7" s="22" t="s">
        <v>470</v>
      </c>
      <c r="I7" s="17" t="s">
        <v>158</v>
      </c>
      <c r="J7" s="23">
        <v>178000</v>
      </c>
      <c r="K7" s="24">
        <f>'برادو 2009'!F43</f>
        <v>4888250</v>
      </c>
      <c r="L7" s="25">
        <f>'2022 البرادو '!G54</f>
        <v>0</v>
      </c>
    </row>
    <row r="8" spans="1:12" ht="24.6" customHeight="1">
      <c r="A8" s="17">
        <v>5</v>
      </c>
      <c r="B8" s="18" t="s">
        <v>64</v>
      </c>
      <c r="C8" s="19" t="s">
        <v>1216</v>
      </c>
      <c r="D8" s="17">
        <v>2022</v>
      </c>
      <c r="E8" s="17" t="s">
        <v>198</v>
      </c>
      <c r="F8" s="20">
        <f>DATE(2026,11,3)</f>
        <v>46329</v>
      </c>
      <c r="G8" s="21" t="str">
        <f t="shared" ca="1" si="0"/>
        <v/>
      </c>
      <c r="H8" s="22" t="s">
        <v>470</v>
      </c>
      <c r="I8" s="17" t="s">
        <v>158</v>
      </c>
      <c r="J8" s="23">
        <v>28000</v>
      </c>
      <c r="K8" s="24">
        <f>'2022 البرادو '!F54</f>
        <v>2727000</v>
      </c>
      <c r="L8" s="25">
        <f>'برادو 2009'!G43</f>
        <v>0</v>
      </c>
    </row>
    <row r="9" spans="1:12" ht="24.6" customHeight="1">
      <c r="A9" s="17">
        <v>6</v>
      </c>
      <c r="B9" s="18" t="s">
        <v>822</v>
      </c>
      <c r="C9" s="26" t="s">
        <v>598</v>
      </c>
      <c r="D9" s="17">
        <v>2024</v>
      </c>
      <c r="E9" s="17" t="s">
        <v>198</v>
      </c>
      <c r="F9" s="20">
        <f>DATE(2029,11,4)</f>
        <v>47426</v>
      </c>
      <c r="G9" s="21" t="str">
        <f t="shared" ca="1" si="0"/>
        <v/>
      </c>
      <c r="H9" s="22" t="s">
        <v>470</v>
      </c>
      <c r="I9" s="17" t="s">
        <v>158</v>
      </c>
      <c r="J9" s="23">
        <f>'جيب شيروكي '!I5</f>
        <v>12200</v>
      </c>
      <c r="K9" s="24">
        <f>'جيب شيروكي '!F36</f>
        <v>1126000</v>
      </c>
      <c r="L9" s="25">
        <f>'جيب شيروكي '!G36</f>
        <v>1700</v>
      </c>
    </row>
    <row r="10" spans="1:12" ht="24.6" customHeight="1">
      <c r="A10" s="17">
        <v>7</v>
      </c>
      <c r="B10" s="18" t="s">
        <v>1083</v>
      </c>
      <c r="C10" s="26" t="s">
        <v>696</v>
      </c>
      <c r="D10" s="17">
        <v>2024</v>
      </c>
      <c r="E10" s="17" t="s">
        <v>1251</v>
      </c>
      <c r="F10" s="20">
        <f>DATE(2027,11,3)</f>
        <v>46694</v>
      </c>
      <c r="G10" s="21" t="str">
        <f ca="1">IF(F10&lt;NOW(),"تنبية","")</f>
        <v/>
      </c>
      <c r="H10" s="22" t="s">
        <v>470</v>
      </c>
      <c r="I10" s="17" t="s">
        <v>599</v>
      </c>
      <c r="J10" s="23">
        <f>'راف فور'!I5</f>
        <v>20000</v>
      </c>
      <c r="K10" s="24">
        <f>'راف فور'!F36</f>
        <v>667500</v>
      </c>
      <c r="L10" s="25">
        <f>'راف فور'!G36</f>
        <v>0</v>
      </c>
    </row>
    <row r="11" spans="1:12" ht="24.6" customHeight="1">
      <c r="A11" s="200" t="s">
        <v>471</v>
      </c>
      <c r="B11" s="200"/>
      <c r="C11" s="200"/>
      <c r="D11" s="27"/>
      <c r="E11" s="27"/>
      <c r="F11" s="28"/>
      <c r="G11" s="11"/>
      <c r="H11" s="29"/>
      <c r="I11" s="27"/>
      <c r="J11" s="13"/>
      <c r="K11" s="30"/>
      <c r="L11" s="31"/>
    </row>
    <row r="12" spans="1:12" ht="24.6" customHeight="1">
      <c r="A12" s="35">
        <f>A10+1</f>
        <v>8</v>
      </c>
      <c r="B12" s="18" t="s">
        <v>842</v>
      </c>
      <c r="C12" s="19" t="s">
        <v>843</v>
      </c>
      <c r="D12" s="17">
        <v>2013</v>
      </c>
      <c r="E12" s="17" t="s">
        <v>76</v>
      </c>
      <c r="F12" s="20">
        <f>DATE(2027,10,0)</f>
        <v>46660</v>
      </c>
      <c r="G12" s="21" t="str">
        <f ca="1">IF(F12&lt;NOW(),"تنبية","")</f>
        <v/>
      </c>
      <c r="H12" s="17" t="s">
        <v>973</v>
      </c>
      <c r="I12" s="17" t="s">
        <v>980</v>
      </c>
      <c r="J12" s="23"/>
      <c r="K12" s="24">
        <f>'تويوتا بكب 28332'!F55</f>
        <v>4612750</v>
      </c>
      <c r="L12" s="25">
        <f>'تويوتا بكب 28332'!G55</f>
        <v>0</v>
      </c>
    </row>
    <row r="13" spans="1:12" s="16" customFormat="1" ht="24.6" customHeight="1">
      <c r="A13" s="35">
        <f>A12+1</f>
        <v>9</v>
      </c>
      <c r="B13" s="18" t="s">
        <v>842</v>
      </c>
      <c r="C13" s="19" t="s">
        <v>844</v>
      </c>
      <c r="D13" s="17">
        <v>2012</v>
      </c>
      <c r="E13" s="17" t="s">
        <v>1251</v>
      </c>
      <c r="F13" s="20">
        <f>DATE(2028,6,5)</f>
        <v>46909</v>
      </c>
      <c r="G13" s="21" t="str">
        <f t="shared" ref="G13:G43" ca="1" si="1">IF(F13&lt;NOW(),"تنبية","")</f>
        <v/>
      </c>
      <c r="H13" s="22" t="s">
        <v>470</v>
      </c>
      <c r="I13" s="17" t="s">
        <v>766</v>
      </c>
      <c r="J13" s="23"/>
      <c r="K13" s="24">
        <f>'تويوتا بكب 88646'!F36</f>
        <v>2036000</v>
      </c>
      <c r="L13" s="25">
        <f>'تويوتا بكب 88646'!G36</f>
        <v>150</v>
      </c>
    </row>
    <row r="14" spans="1:12" ht="24.6" customHeight="1">
      <c r="A14" s="35">
        <f t="shared" ref="A14:A22" si="2">A13+1</f>
        <v>10</v>
      </c>
      <c r="B14" s="18" t="s">
        <v>842</v>
      </c>
      <c r="C14" s="19" t="s">
        <v>845</v>
      </c>
      <c r="D14" s="17">
        <v>2013</v>
      </c>
      <c r="E14" s="17" t="s">
        <v>76</v>
      </c>
      <c r="F14" s="20">
        <f>DATE(2027,11,2)</f>
        <v>46693</v>
      </c>
      <c r="G14" s="21" t="str">
        <f t="shared" ca="1" si="1"/>
        <v/>
      </c>
      <c r="H14" s="22" t="s">
        <v>1084</v>
      </c>
      <c r="I14" s="17" t="s">
        <v>1085</v>
      </c>
      <c r="J14" s="23"/>
      <c r="K14" s="24">
        <f>'تويوتا بكب 71711'!F34</f>
        <v>795000</v>
      </c>
      <c r="L14" s="25">
        <f>'تويوتا بكب 71711'!G34</f>
        <v>0</v>
      </c>
    </row>
    <row r="15" spans="1:12" ht="24.6" customHeight="1">
      <c r="A15" s="35">
        <f t="shared" si="2"/>
        <v>11</v>
      </c>
      <c r="B15" s="18" t="s">
        <v>842</v>
      </c>
      <c r="C15" s="19" t="s">
        <v>851</v>
      </c>
      <c r="D15" s="17">
        <v>2011</v>
      </c>
      <c r="E15" s="17" t="s">
        <v>1251</v>
      </c>
      <c r="F15" s="20">
        <f>DATE(2029,10,6)</f>
        <v>47397</v>
      </c>
      <c r="G15" s="21" t="str">
        <f t="shared" ca="1" si="1"/>
        <v/>
      </c>
      <c r="H15" s="22" t="s">
        <v>470</v>
      </c>
      <c r="I15" s="17"/>
      <c r="J15" s="23"/>
      <c r="K15" s="24">
        <f>'تويوتا بكب 9364'!F37</f>
        <v>7574750</v>
      </c>
      <c r="L15" s="25">
        <f>'تويوتا بكب 9364'!G37</f>
        <v>0</v>
      </c>
    </row>
    <row r="16" spans="1:12" ht="24.6" customHeight="1">
      <c r="A16" s="35">
        <f t="shared" si="2"/>
        <v>12</v>
      </c>
      <c r="B16" s="18" t="s">
        <v>842</v>
      </c>
      <c r="C16" s="32" t="s">
        <v>852</v>
      </c>
      <c r="D16" s="17">
        <v>2008</v>
      </c>
      <c r="E16" s="17" t="s">
        <v>1251</v>
      </c>
      <c r="F16" s="20">
        <f>DATE(2027,4,19)</f>
        <v>46496</v>
      </c>
      <c r="G16" s="21" t="str">
        <f t="shared" ca="1" si="1"/>
        <v/>
      </c>
      <c r="H16" s="17" t="s">
        <v>973</v>
      </c>
      <c r="I16" s="40"/>
      <c r="J16" s="23"/>
      <c r="K16" s="24">
        <f>'تويوتا بكب 38020'!F36</f>
        <v>3316000</v>
      </c>
      <c r="L16" s="80">
        <f>'تويوتا بكب 38020'!G36</f>
        <v>0</v>
      </c>
    </row>
    <row r="17" spans="1:12" ht="24.6" customHeight="1">
      <c r="A17" s="35">
        <f t="shared" si="2"/>
        <v>13</v>
      </c>
      <c r="B17" s="18" t="s">
        <v>848</v>
      </c>
      <c r="C17" s="26" t="s">
        <v>694</v>
      </c>
      <c r="D17" s="17">
        <v>2025</v>
      </c>
      <c r="E17" s="17" t="s">
        <v>1251</v>
      </c>
      <c r="F17" s="20">
        <f>DATE(2029,12,12)</f>
        <v>47464</v>
      </c>
      <c r="G17" s="21" t="str">
        <f t="shared" ca="1" si="1"/>
        <v/>
      </c>
      <c r="H17" s="22" t="s">
        <v>470</v>
      </c>
      <c r="I17" s="17" t="s">
        <v>746</v>
      </c>
      <c r="J17" s="23"/>
      <c r="K17" s="24">
        <f>'H 68461 تويوتا بكب'!F100</f>
        <v>0</v>
      </c>
      <c r="L17" s="25">
        <f>'H 68461 تويوتا بكب'!G100</f>
        <v>0</v>
      </c>
    </row>
    <row r="18" spans="1:12" ht="24.6" customHeight="1">
      <c r="A18" s="35">
        <f t="shared" si="2"/>
        <v>14</v>
      </c>
      <c r="B18" s="18" t="s">
        <v>849</v>
      </c>
      <c r="C18" s="26" t="s">
        <v>695</v>
      </c>
      <c r="D18" s="17">
        <v>2025</v>
      </c>
      <c r="E18" s="17" t="s">
        <v>826</v>
      </c>
      <c r="F18" s="20">
        <f>DATE(2029,12,21)</f>
        <v>47473</v>
      </c>
      <c r="G18" s="21" t="str">
        <f t="shared" ca="1" si="1"/>
        <v/>
      </c>
      <c r="H18" s="22" t="s">
        <v>470</v>
      </c>
      <c r="I18" s="17" t="s">
        <v>75</v>
      </c>
      <c r="J18" s="23"/>
      <c r="K18" s="24">
        <f>'H 83043 تويوتا بكب '!F110</f>
        <v>1618320</v>
      </c>
      <c r="L18" s="25">
        <f>'H 83043 تويوتا بكب '!G110</f>
        <v>220</v>
      </c>
    </row>
    <row r="19" spans="1:12" ht="24.6" customHeight="1">
      <c r="A19" s="35">
        <f t="shared" si="2"/>
        <v>15</v>
      </c>
      <c r="B19" s="18" t="s">
        <v>842</v>
      </c>
      <c r="C19" s="26" t="s">
        <v>1028</v>
      </c>
      <c r="D19" s="17">
        <v>2025</v>
      </c>
      <c r="E19" s="17" t="s">
        <v>1251</v>
      </c>
      <c r="F19" s="20">
        <v>47717</v>
      </c>
      <c r="G19" s="21" t="str">
        <f t="shared" ca="1" si="1"/>
        <v/>
      </c>
      <c r="H19" s="17" t="s">
        <v>1084</v>
      </c>
      <c r="I19" s="17" t="s">
        <v>1029</v>
      </c>
      <c r="J19" s="23"/>
      <c r="K19" s="24">
        <f>'2025 تويوتا بكب (2)'!F100</f>
        <v>0</v>
      </c>
      <c r="L19" s="25">
        <f>'2025 تويوتا بكب (2)'!G100</f>
        <v>0</v>
      </c>
    </row>
    <row r="20" spans="1:12" ht="24.6" customHeight="1">
      <c r="A20" s="35">
        <f t="shared" si="2"/>
        <v>16</v>
      </c>
      <c r="B20" s="18" t="s">
        <v>842</v>
      </c>
      <c r="C20" s="26" t="s">
        <v>1030</v>
      </c>
      <c r="D20" s="17">
        <v>2025</v>
      </c>
      <c r="E20" s="17" t="s">
        <v>1251</v>
      </c>
      <c r="F20" s="20">
        <v>47718</v>
      </c>
      <c r="G20" s="21" t="str">
        <f t="shared" ca="1" si="1"/>
        <v/>
      </c>
      <c r="H20" s="17" t="s">
        <v>470</v>
      </c>
      <c r="I20" s="17" t="s">
        <v>1086</v>
      </c>
      <c r="J20" s="23"/>
      <c r="K20" s="24">
        <f>'2025 تويوتا بكب (3)'!F100</f>
        <v>0</v>
      </c>
      <c r="L20" s="25">
        <f>'2025 تويوتا بكب (3)'!G100</f>
        <v>0</v>
      </c>
    </row>
    <row r="21" spans="1:12" ht="24.6" customHeight="1">
      <c r="A21" s="35">
        <f t="shared" si="2"/>
        <v>17</v>
      </c>
      <c r="B21" s="18" t="s">
        <v>842</v>
      </c>
      <c r="C21" s="26" t="s">
        <v>1031</v>
      </c>
      <c r="D21" s="17">
        <v>2025</v>
      </c>
      <c r="E21" s="17" t="s">
        <v>1251</v>
      </c>
      <c r="F21" s="20">
        <v>47719</v>
      </c>
      <c r="G21" s="21" t="str">
        <f t="shared" ca="1" si="1"/>
        <v/>
      </c>
      <c r="H21" s="17" t="s">
        <v>499</v>
      </c>
      <c r="I21" s="17"/>
      <c r="J21" s="23"/>
      <c r="K21" s="24">
        <f>'2025 تويوتا بكب (4)  '!F100</f>
        <v>0</v>
      </c>
      <c r="L21" s="25">
        <f>'2025 تويوتا بكب (4)  '!G100</f>
        <v>0</v>
      </c>
    </row>
    <row r="22" spans="1:12" ht="24.6" customHeight="1">
      <c r="A22" s="35">
        <f t="shared" si="2"/>
        <v>18</v>
      </c>
      <c r="B22" s="18" t="s">
        <v>842</v>
      </c>
      <c r="C22" s="19" t="s">
        <v>856</v>
      </c>
      <c r="D22" s="17">
        <v>2009</v>
      </c>
      <c r="E22" s="17" t="s">
        <v>1251</v>
      </c>
      <c r="F22" s="20">
        <f>DATE(2027,3,6)</f>
        <v>46452</v>
      </c>
      <c r="G22" s="21" t="str">
        <f t="shared" ca="1" si="1"/>
        <v/>
      </c>
      <c r="H22" s="17" t="s">
        <v>973</v>
      </c>
      <c r="I22" s="17" t="s">
        <v>981</v>
      </c>
      <c r="J22" s="23"/>
      <c r="K22" s="24">
        <f>'تويوتا بكب 49923'!F39</f>
        <v>3591000</v>
      </c>
      <c r="L22" s="25">
        <f>'تويوتا بكب 49923'!G39</f>
        <v>0</v>
      </c>
    </row>
    <row r="23" spans="1:12" s="75" customFormat="1" ht="24.6" customHeight="1">
      <c r="A23" s="200" t="s">
        <v>497</v>
      </c>
      <c r="B23" s="200"/>
      <c r="C23" s="200"/>
      <c r="D23" s="9"/>
      <c r="E23" s="9"/>
      <c r="F23" s="10"/>
      <c r="G23" s="11"/>
      <c r="H23" s="12"/>
      <c r="I23" s="9"/>
      <c r="J23" s="13"/>
      <c r="K23" s="14"/>
      <c r="L23" s="15"/>
    </row>
    <row r="24" spans="1:12" ht="24.6" customHeight="1">
      <c r="A24" s="35">
        <f>A22+1</f>
        <v>19</v>
      </c>
      <c r="B24" s="18" t="s">
        <v>61</v>
      </c>
      <c r="C24" s="32" t="s">
        <v>857</v>
      </c>
      <c r="D24" s="17">
        <v>2019</v>
      </c>
      <c r="E24" s="17" t="s">
        <v>1251</v>
      </c>
      <c r="F24" s="20">
        <f>DATE(2029,6,11)</f>
        <v>47280</v>
      </c>
      <c r="G24" s="21" t="str">
        <f ca="1">IF(F24&lt;NOW(),"تنبية","")</f>
        <v/>
      </c>
      <c r="H24" s="17" t="s">
        <v>973</v>
      </c>
      <c r="I24" s="17"/>
      <c r="J24" s="23"/>
      <c r="K24" s="24">
        <f>'كيا 87740'!F24</f>
        <v>4419000</v>
      </c>
      <c r="L24" s="25">
        <f>'كيا 87740'!G24</f>
        <v>0</v>
      </c>
    </row>
    <row r="25" spans="1:12" ht="24.6" customHeight="1">
      <c r="A25" s="35">
        <f>A24+1</f>
        <v>20</v>
      </c>
      <c r="B25" s="18" t="s">
        <v>60</v>
      </c>
      <c r="C25" s="19" t="s">
        <v>858</v>
      </c>
      <c r="D25" s="17">
        <v>2019</v>
      </c>
      <c r="E25" s="17" t="s">
        <v>1251</v>
      </c>
      <c r="F25" s="20">
        <f>DATE(2029,6,9)</f>
        <v>47278</v>
      </c>
      <c r="G25" s="21" t="str">
        <f t="shared" ref="G25:G32" ca="1" si="3">IF(F25&lt;NOW(),"تنبية","")</f>
        <v/>
      </c>
      <c r="H25" s="17" t="s">
        <v>973</v>
      </c>
      <c r="I25" s="17"/>
      <c r="J25" s="23"/>
      <c r="K25" s="24">
        <f>'كيا 84103'!F67</f>
        <v>5445500</v>
      </c>
      <c r="L25" s="25">
        <f>'كيا 84103'!G67</f>
        <v>0</v>
      </c>
    </row>
    <row r="26" spans="1:12" ht="24.6" customHeight="1">
      <c r="A26" s="35">
        <f t="shared" ref="A26:A33" si="4">A25+1</f>
        <v>21</v>
      </c>
      <c r="B26" s="18" t="s">
        <v>61</v>
      </c>
      <c r="C26" s="19" t="s">
        <v>859</v>
      </c>
      <c r="D26" s="17">
        <v>2013</v>
      </c>
      <c r="E26" s="17" t="s">
        <v>1251</v>
      </c>
      <c r="F26" s="20">
        <f>DATE(2028,10,28)</f>
        <v>47054</v>
      </c>
      <c r="G26" s="21" t="str">
        <f t="shared" ca="1" si="3"/>
        <v/>
      </c>
      <c r="H26" s="17" t="s">
        <v>973</v>
      </c>
      <c r="I26" s="17"/>
      <c r="J26" s="23"/>
      <c r="K26" s="24">
        <f>'كيا 87065'!F79</f>
        <v>8010000</v>
      </c>
      <c r="L26" s="25">
        <f>'كيا 87065'!G79</f>
        <v>0</v>
      </c>
    </row>
    <row r="27" spans="1:12" ht="24.6" customHeight="1">
      <c r="A27" s="35">
        <f t="shared" si="4"/>
        <v>22</v>
      </c>
      <c r="B27" s="18" t="s">
        <v>61</v>
      </c>
      <c r="C27" s="19" t="s">
        <v>860</v>
      </c>
      <c r="D27" s="17">
        <v>2013</v>
      </c>
      <c r="E27" s="17" t="s">
        <v>76</v>
      </c>
      <c r="F27" s="20">
        <f>DATE(2027,10,29)</f>
        <v>46689</v>
      </c>
      <c r="G27" s="21" t="str">
        <f t="shared" ca="1" si="3"/>
        <v/>
      </c>
      <c r="H27" s="22" t="s">
        <v>1084</v>
      </c>
      <c r="I27" s="17"/>
      <c r="J27" s="23"/>
      <c r="K27" s="24">
        <f>'كيا  68783 '!F49</f>
        <v>2082000</v>
      </c>
      <c r="L27" s="25">
        <f>'كيا  68783 '!G49</f>
        <v>780</v>
      </c>
    </row>
    <row r="28" spans="1:12" ht="24.6" customHeight="1">
      <c r="A28" s="35">
        <f t="shared" si="4"/>
        <v>23</v>
      </c>
      <c r="B28" s="18" t="s">
        <v>60</v>
      </c>
      <c r="C28" s="19" t="s">
        <v>861</v>
      </c>
      <c r="D28" s="17">
        <v>2012</v>
      </c>
      <c r="E28" s="17" t="s">
        <v>1251</v>
      </c>
      <c r="F28" s="20">
        <f>DATE(2027,6,11)</f>
        <v>46549</v>
      </c>
      <c r="G28" s="21" t="str">
        <f t="shared" ca="1" si="3"/>
        <v/>
      </c>
      <c r="H28" s="22" t="s">
        <v>1084</v>
      </c>
      <c r="I28" s="17"/>
      <c r="J28" s="23"/>
      <c r="K28" s="24">
        <f>'كيا 80540'!F48</f>
        <v>5632000</v>
      </c>
      <c r="L28" s="25">
        <f>'كيا 80540'!G48</f>
        <v>0</v>
      </c>
    </row>
    <row r="29" spans="1:12" s="16" customFormat="1" ht="24.6" customHeight="1">
      <c r="A29" s="35">
        <f t="shared" si="4"/>
        <v>24</v>
      </c>
      <c r="B29" s="18" t="s">
        <v>61</v>
      </c>
      <c r="C29" s="34" t="s">
        <v>862</v>
      </c>
      <c r="D29" s="35">
        <v>2009</v>
      </c>
      <c r="E29" s="17" t="s">
        <v>1251</v>
      </c>
      <c r="F29" s="20">
        <f>DATE(2028,3,6)</f>
        <v>46818</v>
      </c>
      <c r="G29" s="21" t="str">
        <f t="shared" ca="1" si="3"/>
        <v/>
      </c>
      <c r="H29" s="17" t="s">
        <v>973</v>
      </c>
      <c r="I29" s="17"/>
      <c r="J29" s="37"/>
      <c r="K29" s="38">
        <f>'كيا 4462'!F115</f>
        <v>5207000</v>
      </c>
      <c r="L29" s="39">
        <f>'كيا 4462'!G115</f>
        <v>0</v>
      </c>
    </row>
    <row r="30" spans="1:12" ht="24.6" customHeight="1">
      <c r="A30" s="35">
        <f t="shared" si="4"/>
        <v>25</v>
      </c>
      <c r="B30" s="18" t="s">
        <v>61</v>
      </c>
      <c r="C30" s="19" t="s">
        <v>866</v>
      </c>
      <c r="D30" s="17">
        <v>2019</v>
      </c>
      <c r="E30" s="17" t="s">
        <v>1251</v>
      </c>
      <c r="F30" s="20">
        <f>DATE(2029,6,9)</f>
        <v>47278</v>
      </c>
      <c r="G30" s="21" t="str">
        <f t="shared" ca="1" si="3"/>
        <v/>
      </c>
      <c r="H30" s="17" t="s">
        <v>973</v>
      </c>
      <c r="I30" s="17"/>
      <c r="J30" s="23"/>
      <c r="K30" s="24">
        <f>'كيا 41711'!F47</f>
        <v>3232500</v>
      </c>
      <c r="L30" s="25">
        <f>'كيا 41711'!G47</f>
        <v>0</v>
      </c>
    </row>
    <row r="31" spans="1:12" ht="24.6" customHeight="1">
      <c r="A31" s="35">
        <f t="shared" si="4"/>
        <v>26</v>
      </c>
      <c r="B31" s="40" t="s">
        <v>61</v>
      </c>
      <c r="C31" s="19" t="s">
        <v>867</v>
      </c>
      <c r="D31" s="17">
        <v>2013</v>
      </c>
      <c r="E31" s="17" t="s">
        <v>1251</v>
      </c>
      <c r="F31" s="20">
        <f>DATE(2028,8,14)</f>
        <v>46979</v>
      </c>
      <c r="G31" s="21" t="str">
        <f t="shared" ca="1" si="3"/>
        <v/>
      </c>
      <c r="H31" s="22" t="s">
        <v>1084</v>
      </c>
      <c r="I31" s="17"/>
      <c r="J31" s="23"/>
      <c r="K31" s="24">
        <f>'كيا 46696'!F41</f>
        <v>4711000</v>
      </c>
      <c r="L31" s="25">
        <f>'كيا 46696'!G41</f>
        <v>187</v>
      </c>
    </row>
    <row r="32" spans="1:12" ht="24.6" customHeight="1">
      <c r="A32" s="35">
        <f t="shared" si="4"/>
        <v>27</v>
      </c>
      <c r="B32" s="18" t="s">
        <v>61</v>
      </c>
      <c r="C32" s="26" t="s">
        <v>693</v>
      </c>
      <c r="D32" s="17">
        <v>2024</v>
      </c>
      <c r="E32" s="17" t="s">
        <v>1251</v>
      </c>
      <c r="F32" s="20">
        <f>DATE(2029,12,25)</f>
        <v>47477</v>
      </c>
      <c r="G32" s="21" t="str">
        <f t="shared" ca="1" si="3"/>
        <v/>
      </c>
      <c r="H32" s="17" t="s">
        <v>973</v>
      </c>
      <c r="I32" s="17"/>
      <c r="J32" s="23"/>
      <c r="K32" s="24">
        <f>'كيا  99237 '!F16</f>
        <v>70000</v>
      </c>
      <c r="L32" s="25">
        <f>'كيا  99237 '!G16</f>
        <v>0</v>
      </c>
    </row>
    <row r="33" spans="1:12" ht="24.6" customHeight="1">
      <c r="A33" s="35">
        <f t="shared" si="4"/>
        <v>28</v>
      </c>
      <c r="B33" s="18" t="s">
        <v>863</v>
      </c>
      <c r="C33" s="19" t="s">
        <v>865</v>
      </c>
      <c r="D33" s="17">
        <v>2020</v>
      </c>
      <c r="E33" s="17" t="s">
        <v>1251</v>
      </c>
      <c r="F33" s="20">
        <v>47792</v>
      </c>
      <c r="G33" s="21" t="str">
        <f ca="1">IF(F33&lt;NOW(),"تنبية","")</f>
        <v/>
      </c>
      <c r="H33" s="22" t="s">
        <v>498</v>
      </c>
      <c r="I33" s="17"/>
      <c r="J33" s="23"/>
      <c r="K33" s="24">
        <f>'كنتر بيك اب 94707'!F33</f>
        <v>635000</v>
      </c>
      <c r="L33" s="25">
        <f>'كنتر بيك اب 94707'!G33</f>
        <v>340</v>
      </c>
    </row>
    <row r="34" spans="1:12" ht="24.6" customHeight="1">
      <c r="A34" s="200" t="s">
        <v>472</v>
      </c>
      <c r="B34" s="200"/>
      <c r="C34" s="200"/>
      <c r="D34" s="27"/>
      <c r="E34" s="27"/>
      <c r="F34" s="28"/>
      <c r="G34" s="33"/>
      <c r="H34" s="29"/>
      <c r="I34" s="27"/>
      <c r="J34" s="13"/>
      <c r="K34" s="30"/>
      <c r="L34" s="31"/>
    </row>
    <row r="35" spans="1:12" ht="24.6" customHeight="1">
      <c r="A35" s="35">
        <f>A33+1</f>
        <v>29</v>
      </c>
      <c r="B35" s="40" t="s">
        <v>12</v>
      </c>
      <c r="C35" s="26" t="s">
        <v>868</v>
      </c>
      <c r="D35" s="17">
        <v>2004</v>
      </c>
      <c r="E35" s="17" t="s">
        <v>1251</v>
      </c>
      <c r="F35" s="20">
        <v>47332</v>
      </c>
      <c r="G35" s="21" t="str">
        <f t="shared" ca="1" si="1"/>
        <v/>
      </c>
      <c r="H35" s="17" t="s">
        <v>973</v>
      </c>
      <c r="I35" s="17"/>
      <c r="J35" s="23"/>
      <c r="K35" s="24">
        <f>'خباطة 50955'!F34</f>
        <v>6800000</v>
      </c>
      <c r="L35" s="25">
        <f>'خباطة 50955'!G34</f>
        <v>700</v>
      </c>
    </row>
    <row r="36" spans="1:12" ht="24.6" customHeight="1">
      <c r="A36" s="35">
        <f>A35+1</f>
        <v>30</v>
      </c>
      <c r="B36" s="40" t="s">
        <v>11</v>
      </c>
      <c r="C36" s="19" t="s">
        <v>869</v>
      </c>
      <c r="D36" s="17">
        <v>2007</v>
      </c>
      <c r="E36" s="17" t="s">
        <v>1251</v>
      </c>
      <c r="F36" s="20">
        <v>45247</v>
      </c>
      <c r="G36" s="21" t="str">
        <f t="shared" ca="1" si="1"/>
        <v>تنبية</v>
      </c>
      <c r="H36" s="22" t="s">
        <v>973</v>
      </c>
      <c r="I36" s="17"/>
      <c r="J36" s="23"/>
      <c r="K36" s="24">
        <f>'خباطة 94900'!F56</f>
        <v>9772000</v>
      </c>
      <c r="L36" s="25">
        <f>'خباطة 94900'!G56</f>
        <v>350</v>
      </c>
    </row>
    <row r="37" spans="1:12" ht="24.6" customHeight="1">
      <c r="A37" s="35">
        <f t="shared" ref="A37:A43" si="5">A36+1</f>
        <v>31</v>
      </c>
      <c r="B37" s="40" t="s">
        <v>11</v>
      </c>
      <c r="C37" s="19" t="s">
        <v>870</v>
      </c>
      <c r="D37" s="17">
        <v>2006</v>
      </c>
      <c r="E37" s="17" t="s">
        <v>1251</v>
      </c>
      <c r="F37" s="20">
        <v>47078</v>
      </c>
      <c r="G37" s="21" t="str">
        <f t="shared" ca="1" si="1"/>
        <v/>
      </c>
      <c r="H37" s="17" t="s">
        <v>973</v>
      </c>
      <c r="I37" s="17"/>
      <c r="J37" s="23"/>
      <c r="K37" s="24">
        <f>'خباطة 53389'!F35</f>
        <v>4627000</v>
      </c>
      <c r="L37" s="25">
        <f>'خباطة 53389'!G35</f>
        <v>750</v>
      </c>
    </row>
    <row r="38" spans="1:12" ht="24.6" customHeight="1">
      <c r="A38" s="35">
        <f t="shared" si="5"/>
        <v>32</v>
      </c>
      <c r="B38" s="40" t="s">
        <v>11</v>
      </c>
      <c r="C38" s="19" t="s">
        <v>871</v>
      </c>
      <c r="D38" s="17">
        <v>2007</v>
      </c>
      <c r="E38" s="17" t="s">
        <v>1251</v>
      </c>
      <c r="F38" s="20">
        <v>47078</v>
      </c>
      <c r="G38" s="21" t="str">
        <f t="shared" ca="1" si="1"/>
        <v/>
      </c>
      <c r="H38" s="17" t="s">
        <v>1084</v>
      </c>
      <c r="I38" s="17"/>
      <c r="J38" s="23"/>
      <c r="K38" s="24">
        <f>'خباطة 29501'!F32</f>
        <v>3444750</v>
      </c>
      <c r="L38" s="25">
        <f>'خباطة 29501'!G32</f>
        <v>250</v>
      </c>
    </row>
    <row r="39" spans="1:12" ht="24.6" customHeight="1">
      <c r="A39" s="35">
        <f t="shared" si="5"/>
        <v>33</v>
      </c>
      <c r="B39" s="40" t="s">
        <v>12</v>
      </c>
      <c r="C39" s="19" t="s">
        <v>873</v>
      </c>
      <c r="D39" s="17">
        <v>2006</v>
      </c>
      <c r="E39" s="17" t="s">
        <v>1251</v>
      </c>
      <c r="F39" s="20">
        <v>47072</v>
      </c>
      <c r="G39" s="21" t="str">
        <f t="shared" ca="1" si="1"/>
        <v/>
      </c>
      <c r="H39" s="22" t="s">
        <v>498</v>
      </c>
      <c r="I39" s="17"/>
      <c r="J39" s="23"/>
      <c r="K39" s="24">
        <f>'خباطة 60036'!F28</f>
        <v>10599000</v>
      </c>
      <c r="L39" s="25">
        <f>'خباطة 60036'!G28</f>
        <v>0</v>
      </c>
    </row>
    <row r="40" spans="1:12" ht="24.6" customHeight="1">
      <c r="A40" s="35">
        <f t="shared" si="5"/>
        <v>34</v>
      </c>
      <c r="B40" s="40" t="s">
        <v>529</v>
      </c>
      <c r="C40" s="34" t="s">
        <v>874</v>
      </c>
      <c r="D40" s="35">
        <v>2017</v>
      </c>
      <c r="E40" s="35" t="s">
        <v>826</v>
      </c>
      <c r="F40" s="41">
        <v>46760</v>
      </c>
      <c r="G40" s="82" t="str">
        <f t="shared" ca="1" si="1"/>
        <v/>
      </c>
      <c r="H40" s="35" t="s">
        <v>974</v>
      </c>
      <c r="I40" s="17"/>
      <c r="J40" s="23"/>
      <c r="K40" s="24">
        <f>'خباطة 10976'!F31</f>
        <v>2048500</v>
      </c>
      <c r="L40" s="25">
        <f>'خباطة 10976'!G31</f>
        <v>0</v>
      </c>
    </row>
    <row r="41" spans="1:12" ht="24.6" customHeight="1">
      <c r="A41" s="35">
        <f t="shared" si="5"/>
        <v>35</v>
      </c>
      <c r="B41" s="40" t="s">
        <v>529</v>
      </c>
      <c r="C41" s="34" t="s">
        <v>1173</v>
      </c>
      <c r="D41" s="35">
        <v>2019</v>
      </c>
      <c r="E41" s="35" t="s">
        <v>826</v>
      </c>
      <c r="F41" s="41">
        <v>47508</v>
      </c>
      <c r="G41" s="82" t="str">
        <f t="shared" ca="1" si="1"/>
        <v/>
      </c>
      <c r="H41" s="35" t="s">
        <v>1087</v>
      </c>
      <c r="I41" s="17"/>
      <c r="J41" s="23"/>
      <c r="K41" s="24">
        <f>' C 24000- خباطة'!F98</f>
        <v>1730000</v>
      </c>
      <c r="L41" s="25">
        <f>' C 24000- خباطة'!G98</f>
        <v>250</v>
      </c>
    </row>
    <row r="42" spans="1:12" ht="24.6" customHeight="1">
      <c r="A42" s="35">
        <f t="shared" si="5"/>
        <v>36</v>
      </c>
      <c r="B42" s="40" t="s">
        <v>529</v>
      </c>
      <c r="C42" s="34" t="s">
        <v>1174</v>
      </c>
      <c r="D42" s="35">
        <v>2018</v>
      </c>
      <c r="E42" s="35" t="s">
        <v>826</v>
      </c>
      <c r="F42" s="41">
        <v>47510</v>
      </c>
      <c r="G42" s="82" t="str">
        <f t="shared" ca="1" si="1"/>
        <v/>
      </c>
      <c r="H42" s="35" t="s">
        <v>1087</v>
      </c>
      <c r="I42" s="17"/>
      <c r="J42" s="23"/>
      <c r="K42" s="24">
        <f>'C 24135- خباطة '!F98</f>
        <v>1730000</v>
      </c>
      <c r="L42" s="25">
        <f>'C 24135- خباطة '!G98</f>
        <v>250</v>
      </c>
    </row>
    <row r="43" spans="1:12" ht="24.6" customHeight="1">
      <c r="A43" s="35">
        <f t="shared" si="5"/>
        <v>37</v>
      </c>
      <c r="B43" s="40" t="s">
        <v>529</v>
      </c>
      <c r="C43" s="34" t="s">
        <v>1175</v>
      </c>
      <c r="D43" s="35">
        <v>2018</v>
      </c>
      <c r="E43" s="35" t="s">
        <v>826</v>
      </c>
      <c r="F43" s="41">
        <v>47508</v>
      </c>
      <c r="G43" s="82" t="str">
        <f t="shared" ca="1" si="1"/>
        <v/>
      </c>
      <c r="H43" s="35" t="s">
        <v>1087</v>
      </c>
      <c r="I43" s="17"/>
      <c r="J43" s="23"/>
      <c r="K43" s="24">
        <f>'C 24283 - خباطة '!F98</f>
        <v>1730000</v>
      </c>
      <c r="L43" s="25">
        <f>'C 24283 - خباطة '!G98</f>
        <v>250</v>
      </c>
    </row>
    <row r="44" spans="1:12" ht="24.6" customHeight="1">
      <c r="A44" s="200" t="s">
        <v>473</v>
      </c>
      <c r="B44" s="200"/>
      <c r="C44" s="200"/>
      <c r="D44" s="27"/>
      <c r="E44" s="27"/>
      <c r="F44" s="28"/>
      <c r="G44" s="28"/>
      <c r="H44" s="29"/>
      <c r="I44" s="27"/>
      <c r="J44" s="13"/>
      <c r="K44" s="30"/>
      <c r="L44" s="31">
        <f>'خباطة 10976'!G31</f>
        <v>0</v>
      </c>
    </row>
    <row r="45" spans="1:12" ht="24.6" customHeight="1">
      <c r="A45" s="35">
        <f>A43+1</f>
        <v>38</v>
      </c>
      <c r="B45" s="18" t="s">
        <v>19</v>
      </c>
      <c r="C45" s="34" t="s">
        <v>79</v>
      </c>
      <c r="D45" s="35">
        <v>2015</v>
      </c>
      <c r="E45" s="35" t="s">
        <v>826</v>
      </c>
      <c r="F45" s="41">
        <v>45990</v>
      </c>
      <c r="G45" s="21" t="str">
        <f t="shared" ref="G45:G56" ca="1" si="6">IF(F45&lt;NOW(),"تنبية","")</f>
        <v>تنبية</v>
      </c>
      <c r="H45" s="35" t="s">
        <v>973</v>
      </c>
      <c r="I45" s="35"/>
      <c r="J45" s="37"/>
      <c r="K45" s="38">
        <f>حفار9315!F28</f>
        <v>7735000</v>
      </c>
      <c r="L45" s="39">
        <f>حفار9315!G28</f>
        <v>0</v>
      </c>
    </row>
    <row r="46" spans="1:12" ht="24.6" customHeight="1">
      <c r="A46" s="35">
        <f>A45+1</f>
        <v>39</v>
      </c>
      <c r="B46" s="18" t="s">
        <v>876</v>
      </c>
      <c r="C46" s="19" t="s">
        <v>148</v>
      </c>
      <c r="D46" s="17">
        <v>2015</v>
      </c>
      <c r="E46" s="17" t="s">
        <v>826</v>
      </c>
      <c r="F46" s="20">
        <v>46292</v>
      </c>
      <c r="G46" s="21" t="str">
        <f t="shared" ca="1" si="6"/>
        <v/>
      </c>
      <c r="H46" s="22" t="s">
        <v>498</v>
      </c>
      <c r="I46" s="17"/>
      <c r="J46" s="23"/>
      <c r="K46" s="24">
        <f>'حفار  6943 '!F35</f>
        <v>2035000</v>
      </c>
      <c r="L46" s="25">
        <f>'حفار  6943 '!G35</f>
        <v>0</v>
      </c>
    </row>
    <row r="47" spans="1:12" ht="24.6" customHeight="1">
      <c r="A47" s="35">
        <f t="shared" ref="A47:A56" si="7">A46+1</f>
        <v>40</v>
      </c>
      <c r="B47" s="18" t="s">
        <v>22</v>
      </c>
      <c r="C47" s="19" t="s">
        <v>82</v>
      </c>
      <c r="D47" s="17">
        <v>2010</v>
      </c>
      <c r="E47" s="17" t="s">
        <v>826</v>
      </c>
      <c r="F47" s="20">
        <v>45863</v>
      </c>
      <c r="G47" s="21" t="str">
        <f t="shared" ca="1" si="6"/>
        <v>تنبية</v>
      </c>
      <c r="H47" s="22" t="s">
        <v>1087</v>
      </c>
      <c r="I47" s="17"/>
      <c r="J47" s="23"/>
      <c r="K47" s="42">
        <f>حفار9499!F35</f>
        <v>3805000</v>
      </c>
      <c r="L47" s="43">
        <f>حفار9499!G35</f>
        <v>1390</v>
      </c>
    </row>
    <row r="48" spans="1:12" s="16" customFormat="1" ht="24.6" customHeight="1">
      <c r="A48" s="35">
        <f t="shared" si="7"/>
        <v>41</v>
      </c>
      <c r="B48" s="18" t="s">
        <v>690</v>
      </c>
      <c r="C48" s="34" t="s">
        <v>878</v>
      </c>
      <c r="D48" s="35">
        <v>2009</v>
      </c>
      <c r="E48" s="35" t="s">
        <v>826</v>
      </c>
      <c r="F48" s="41">
        <v>46798</v>
      </c>
      <c r="G48" s="21" t="str">
        <f t="shared" ca="1" si="6"/>
        <v/>
      </c>
      <c r="H48" s="22" t="s">
        <v>1087</v>
      </c>
      <c r="I48" s="35"/>
      <c r="J48" s="44"/>
      <c r="K48" s="45">
        <f>'10967 حفارة '!F36</f>
        <v>1120000</v>
      </c>
      <c r="L48" s="46">
        <f>'10967 حفارة '!G36</f>
        <v>500</v>
      </c>
    </row>
    <row r="49" spans="1:12" s="16" customFormat="1" ht="24.6" customHeight="1">
      <c r="A49" s="35">
        <f t="shared" si="7"/>
        <v>42</v>
      </c>
      <c r="B49" s="18" t="s">
        <v>21</v>
      </c>
      <c r="C49" s="34" t="s">
        <v>81</v>
      </c>
      <c r="D49" s="35">
        <v>2008</v>
      </c>
      <c r="E49" s="35" t="s">
        <v>826</v>
      </c>
      <c r="F49" s="41">
        <v>45816</v>
      </c>
      <c r="G49" s="21" t="str">
        <f t="shared" ca="1" si="6"/>
        <v>تنبية</v>
      </c>
      <c r="H49" s="35" t="s">
        <v>973</v>
      </c>
      <c r="I49" s="35"/>
      <c r="J49" s="37"/>
      <c r="K49" s="45">
        <f>حفار9540!F48</f>
        <v>13922000</v>
      </c>
      <c r="L49" s="46">
        <f>حفار9540!G48</f>
        <v>1000</v>
      </c>
    </row>
    <row r="50" spans="1:12" ht="24.6" customHeight="1">
      <c r="A50" s="35">
        <f t="shared" si="7"/>
        <v>43</v>
      </c>
      <c r="B50" s="18" t="s">
        <v>14</v>
      </c>
      <c r="C50" s="19" t="s">
        <v>881</v>
      </c>
      <c r="D50" s="17">
        <v>2007</v>
      </c>
      <c r="E50" s="17" t="s">
        <v>1251</v>
      </c>
      <c r="F50" s="20">
        <v>44611</v>
      </c>
      <c r="G50" s="21" t="str">
        <f t="shared" ca="1" si="6"/>
        <v>تنبية</v>
      </c>
      <c r="H50" s="22" t="s">
        <v>974</v>
      </c>
      <c r="I50" s="17"/>
      <c r="J50" s="23"/>
      <c r="K50" s="42">
        <f>'حفارة 8623'!F35</f>
        <v>0</v>
      </c>
      <c r="L50" s="43">
        <f>'حفارة 8623'!G35</f>
        <v>0</v>
      </c>
    </row>
    <row r="51" spans="1:12" ht="24.6" customHeight="1">
      <c r="A51" s="35">
        <f t="shared" si="7"/>
        <v>44</v>
      </c>
      <c r="B51" s="18" t="s">
        <v>982</v>
      </c>
      <c r="C51" s="34" t="s">
        <v>883</v>
      </c>
      <c r="D51" s="35">
        <v>2006</v>
      </c>
      <c r="E51" s="35" t="s">
        <v>826</v>
      </c>
      <c r="F51" s="41">
        <v>46074</v>
      </c>
      <c r="G51" s="21" t="str">
        <f t="shared" ca="1" si="6"/>
        <v>تنبية</v>
      </c>
      <c r="H51" s="22" t="s">
        <v>1087</v>
      </c>
      <c r="I51" s="35"/>
      <c r="J51" s="44"/>
      <c r="K51" s="45">
        <f>'حفارة 9797'!F31</f>
        <v>2460000</v>
      </c>
      <c r="L51" s="46">
        <f>'حفارة 9797'!G31</f>
        <v>0</v>
      </c>
    </row>
    <row r="52" spans="1:12" ht="24.6" customHeight="1">
      <c r="A52" s="35">
        <f t="shared" si="7"/>
        <v>45</v>
      </c>
      <c r="B52" s="18" t="s">
        <v>15</v>
      </c>
      <c r="C52" s="47" t="s">
        <v>884</v>
      </c>
      <c r="D52" s="17">
        <v>2005</v>
      </c>
      <c r="E52" s="17" t="s">
        <v>1251</v>
      </c>
      <c r="F52" s="20">
        <v>46707</v>
      </c>
      <c r="G52" s="21" t="str">
        <f t="shared" ca="1" si="6"/>
        <v/>
      </c>
      <c r="H52" s="35" t="s">
        <v>973</v>
      </c>
      <c r="I52" s="35"/>
      <c r="J52" s="23"/>
      <c r="K52" s="42">
        <f>'حفارة 9726'!F32</f>
        <v>615000</v>
      </c>
      <c r="L52" s="48">
        <f>'حفارة 9726'!G32</f>
        <v>0</v>
      </c>
    </row>
    <row r="53" spans="1:12" ht="24.6" customHeight="1">
      <c r="A53" s="35">
        <f t="shared" si="7"/>
        <v>46</v>
      </c>
      <c r="B53" s="18" t="s">
        <v>20</v>
      </c>
      <c r="C53" s="19" t="s">
        <v>80</v>
      </c>
      <c r="D53" s="17">
        <v>2004</v>
      </c>
      <c r="E53" s="17" t="s">
        <v>885</v>
      </c>
      <c r="F53" s="20">
        <v>46799</v>
      </c>
      <c r="G53" s="21" t="str">
        <f t="shared" ca="1" si="6"/>
        <v/>
      </c>
      <c r="H53" s="22" t="s">
        <v>1087</v>
      </c>
      <c r="I53" s="17"/>
      <c r="J53" s="23"/>
      <c r="K53" s="42">
        <f>حفار8305!F28</f>
        <v>16570000</v>
      </c>
      <c r="L53" s="43">
        <f>حفار8305!G28</f>
        <v>2910</v>
      </c>
    </row>
    <row r="54" spans="1:12" ht="24.6" customHeight="1">
      <c r="A54" s="35">
        <f t="shared" si="7"/>
        <v>47</v>
      </c>
      <c r="B54" s="18" t="s">
        <v>16</v>
      </c>
      <c r="C54" s="19" t="s">
        <v>887</v>
      </c>
      <c r="D54" s="17">
        <v>2001</v>
      </c>
      <c r="E54" s="17" t="s">
        <v>1251</v>
      </c>
      <c r="F54" s="20">
        <v>46739</v>
      </c>
      <c r="G54" s="21" t="str">
        <f t="shared" ca="1" si="6"/>
        <v/>
      </c>
      <c r="H54" s="22" t="s">
        <v>974</v>
      </c>
      <c r="I54" s="17"/>
      <c r="J54" s="23"/>
      <c r="K54" s="42">
        <f>'حفارة 58180'!F27</f>
        <v>4500000</v>
      </c>
      <c r="L54" s="43">
        <f>'حفارة 58180'!G27</f>
        <v>0</v>
      </c>
    </row>
    <row r="55" spans="1:12" s="49" customFormat="1" ht="24.6" customHeight="1">
      <c r="A55" s="35">
        <f t="shared" si="7"/>
        <v>48</v>
      </c>
      <c r="B55" s="18" t="s">
        <v>399</v>
      </c>
      <c r="C55" s="19" t="s">
        <v>888</v>
      </c>
      <c r="D55" s="17">
        <v>2000</v>
      </c>
      <c r="E55" s="17" t="s">
        <v>1251</v>
      </c>
      <c r="F55" s="20">
        <v>45363</v>
      </c>
      <c r="G55" s="21" t="str">
        <f t="shared" ca="1" si="6"/>
        <v>تنبية</v>
      </c>
      <c r="H55" s="22" t="s">
        <v>1087</v>
      </c>
      <c r="I55" s="17"/>
      <c r="J55" s="23"/>
      <c r="K55" s="42">
        <f>حفارر24006!F26</f>
        <v>3165000</v>
      </c>
      <c r="L55" s="43">
        <f>حفارر24006!G26</f>
        <v>0</v>
      </c>
    </row>
    <row r="56" spans="1:12" s="49" customFormat="1" ht="24.6" customHeight="1">
      <c r="A56" s="35">
        <f t="shared" si="7"/>
        <v>49</v>
      </c>
      <c r="B56" s="18" t="s">
        <v>983</v>
      </c>
      <c r="C56" s="50" t="s">
        <v>889</v>
      </c>
      <c r="D56" s="35">
        <v>1996</v>
      </c>
      <c r="E56" s="17" t="s">
        <v>1251</v>
      </c>
      <c r="F56" s="41">
        <v>46480</v>
      </c>
      <c r="G56" s="21" t="str">
        <f t="shared" ca="1" si="6"/>
        <v/>
      </c>
      <c r="H56" s="22" t="s">
        <v>1087</v>
      </c>
      <c r="I56" s="35" t="s">
        <v>94</v>
      </c>
      <c r="J56" s="44"/>
      <c r="K56" s="45">
        <f>'حفارر 58178'!F37</f>
        <v>5597000</v>
      </c>
      <c r="L56" s="46">
        <f>'حفارر 58178'!G37</f>
        <v>0</v>
      </c>
    </row>
    <row r="57" spans="1:12" ht="24.6" customHeight="1">
      <c r="A57" s="200" t="s">
        <v>474</v>
      </c>
      <c r="B57" s="200"/>
      <c r="C57" s="200"/>
      <c r="D57" s="27"/>
      <c r="E57" s="27"/>
      <c r="F57" s="28"/>
      <c r="G57" s="28"/>
      <c r="H57" s="29"/>
      <c r="I57" s="27"/>
      <c r="J57" s="13"/>
      <c r="K57" s="30"/>
      <c r="L57" s="31"/>
    </row>
    <row r="58" spans="1:12" ht="24.6" customHeight="1">
      <c r="A58" s="35">
        <f>A56+1</f>
        <v>50</v>
      </c>
      <c r="B58" s="40" t="s">
        <v>30</v>
      </c>
      <c r="C58" s="34" t="s">
        <v>85</v>
      </c>
      <c r="D58" s="35">
        <v>2014</v>
      </c>
      <c r="E58" s="35" t="s">
        <v>826</v>
      </c>
      <c r="F58" s="41">
        <v>45926</v>
      </c>
      <c r="G58" s="21" t="str">
        <f t="shared" ref="G58:G67" ca="1" si="8">IF(F58&lt;NOW(),"تنبية","")</f>
        <v>تنبية</v>
      </c>
      <c r="H58" s="35" t="s">
        <v>973</v>
      </c>
      <c r="I58" s="35"/>
      <c r="J58" s="37"/>
      <c r="K58" s="38">
        <f>شفل9595!F29</f>
        <v>2007000</v>
      </c>
      <c r="L58" s="39">
        <f>شفل9595!G29</f>
        <v>335</v>
      </c>
    </row>
    <row r="59" spans="1:12" ht="24.6" customHeight="1">
      <c r="A59" s="35">
        <f>A58+1</f>
        <v>51</v>
      </c>
      <c r="B59" s="40" t="s">
        <v>29</v>
      </c>
      <c r="C59" s="34" t="s">
        <v>84</v>
      </c>
      <c r="D59" s="35">
        <v>2010</v>
      </c>
      <c r="E59" s="35" t="s">
        <v>73</v>
      </c>
      <c r="F59" s="41">
        <v>45473</v>
      </c>
      <c r="G59" s="21" t="str">
        <f t="shared" ca="1" si="8"/>
        <v>تنبية</v>
      </c>
      <c r="H59" s="22" t="s">
        <v>974</v>
      </c>
      <c r="I59" s="17"/>
      <c r="J59" s="23"/>
      <c r="K59" s="24">
        <f>شفل8664!F32</f>
        <v>250000</v>
      </c>
      <c r="L59" s="25">
        <f>شفل8664!G32</f>
        <v>0</v>
      </c>
    </row>
    <row r="60" spans="1:12" ht="24.6" customHeight="1">
      <c r="A60" s="35">
        <f t="shared" ref="A60:A72" si="9">A59+1</f>
        <v>52</v>
      </c>
      <c r="B60" s="40" t="s">
        <v>26</v>
      </c>
      <c r="C60" s="19" t="s">
        <v>984</v>
      </c>
      <c r="D60" s="17">
        <v>2007</v>
      </c>
      <c r="E60" s="17" t="s">
        <v>826</v>
      </c>
      <c r="F60" s="20" t="s">
        <v>466</v>
      </c>
      <c r="G60" s="21" t="str">
        <f t="shared" ca="1" si="8"/>
        <v/>
      </c>
      <c r="H60" s="35" t="s">
        <v>973</v>
      </c>
      <c r="I60" s="35"/>
      <c r="J60" s="23"/>
      <c r="K60" s="24">
        <f>شفل6010!F34</f>
        <v>3805000</v>
      </c>
      <c r="L60" s="25">
        <f>شفل6010!G34</f>
        <v>0</v>
      </c>
    </row>
    <row r="61" spans="1:12" ht="24.6" customHeight="1">
      <c r="A61" s="35">
        <f t="shared" si="9"/>
        <v>53</v>
      </c>
      <c r="B61" s="40" t="s">
        <v>892</v>
      </c>
      <c r="C61" s="51" t="s">
        <v>891</v>
      </c>
      <c r="D61" s="35">
        <v>2007</v>
      </c>
      <c r="E61" s="17" t="s">
        <v>1251</v>
      </c>
      <c r="F61" s="41">
        <v>44611</v>
      </c>
      <c r="G61" s="21" t="str">
        <f t="shared" ca="1" si="8"/>
        <v>تنبية</v>
      </c>
      <c r="H61" s="22" t="s">
        <v>974</v>
      </c>
      <c r="I61" s="35"/>
      <c r="J61" s="37" t="s">
        <v>483</v>
      </c>
      <c r="K61" s="38">
        <f>'شفل  8624'!F36</f>
        <v>328000</v>
      </c>
      <c r="L61" s="25">
        <f>'شفل  8624'!G36</f>
        <v>0</v>
      </c>
    </row>
    <row r="62" spans="1:12" ht="24.6" customHeight="1">
      <c r="A62" s="35">
        <f t="shared" si="9"/>
        <v>54</v>
      </c>
      <c r="B62" s="40" t="s">
        <v>25</v>
      </c>
      <c r="C62" s="19" t="s">
        <v>893</v>
      </c>
      <c r="D62" s="17">
        <v>2006</v>
      </c>
      <c r="E62" s="17" t="s">
        <v>1251</v>
      </c>
      <c r="F62" s="20">
        <v>47119</v>
      </c>
      <c r="G62" s="21" t="str">
        <f t="shared" ca="1" si="8"/>
        <v/>
      </c>
      <c r="H62" s="35" t="s">
        <v>973</v>
      </c>
      <c r="I62" s="35"/>
      <c r="J62" s="23"/>
      <c r="K62" s="24">
        <f>شفل77701!F60</f>
        <v>17326000</v>
      </c>
      <c r="L62" s="25">
        <f>شفل77701!G60</f>
        <v>6065</v>
      </c>
    </row>
    <row r="63" spans="1:12" ht="24.6" customHeight="1">
      <c r="A63" s="35">
        <f t="shared" si="9"/>
        <v>55</v>
      </c>
      <c r="B63" s="40" t="s">
        <v>27</v>
      </c>
      <c r="C63" s="19" t="s">
        <v>894</v>
      </c>
      <c r="D63" s="17">
        <v>2004</v>
      </c>
      <c r="E63" s="17" t="s">
        <v>1251</v>
      </c>
      <c r="F63" s="20">
        <v>46833</v>
      </c>
      <c r="G63" s="21" t="str">
        <f t="shared" ca="1" si="8"/>
        <v/>
      </c>
      <c r="H63" s="22" t="s">
        <v>1087</v>
      </c>
      <c r="I63" s="17"/>
      <c r="J63" s="23"/>
      <c r="K63" s="24">
        <f>شفل2493!F52</f>
        <v>12596000</v>
      </c>
      <c r="L63" s="25">
        <f>شفل2493!G52</f>
        <v>4600</v>
      </c>
    </row>
    <row r="64" spans="1:12" ht="24.6" customHeight="1">
      <c r="A64" s="35">
        <f t="shared" si="9"/>
        <v>56</v>
      </c>
      <c r="B64" s="18" t="s">
        <v>900</v>
      </c>
      <c r="C64" s="47" t="s">
        <v>895</v>
      </c>
      <c r="D64" s="17">
        <v>2002</v>
      </c>
      <c r="E64" s="17" t="s">
        <v>1251</v>
      </c>
      <c r="F64" s="20">
        <v>46720</v>
      </c>
      <c r="G64" s="21" t="str">
        <f t="shared" ca="1" si="8"/>
        <v/>
      </c>
      <c r="H64" s="22" t="s">
        <v>1087</v>
      </c>
      <c r="I64" s="17"/>
      <c r="J64" s="23"/>
      <c r="K64" s="24">
        <f>شفل57943!F25</f>
        <v>4488000</v>
      </c>
      <c r="L64" s="52">
        <f>شفل57943!G25</f>
        <v>2401</v>
      </c>
    </row>
    <row r="65" spans="1:12" ht="24.6" customHeight="1">
      <c r="A65" s="35">
        <f t="shared" si="9"/>
        <v>57</v>
      </c>
      <c r="B65" s="18" t="s">
        <v>1025</v>
      </c>
      <c r="C65" s="47">
        <v>50915</v>
      </c>
      <c r="D65" s="17">
        <v>2001</v>
      </c>
      <c r="E65" s="17" t="s">
        <v>76</v>
      </c>
      <c r="F65" s="20">
        <v>46707</v>
      </c>
      <c r="G65" s="21" t="str">
        <f t="shared" ca="1" si="8"/>
        <v/>
      </c>
      <c r="H65" s="22" t="s">
        <v>1026</v>
      </c>
      <c r="I65" s="17"/>
      <c r="J65" s="23"/>
      <c r="K65" s="24">
        <f>'شفل 50915 '!F98</f>
        <v>210000</v>
      </c>
      <c r="L65" s="52">
        <f>'شفل 50915 '!G98</f>
        <v>0</v>
      </c>
    </row>
    <row r="66" spans="1:12" ht="24.6" customHeight="1">
      <c r="A66" s="35">
        <f t="shared" si="9"/>
        <v>58</v>
      </c>
      <c r="B66" s="40" t="s">
        <v>163</v>
      </c>
      <c r="C66" s="47" t="s">
        <v>899</v>
      </c>
      <c r="D66" s="17">
        <v>2001</v>
      </c>
      <c r="E66" s="17" t="s">
        <v>1251</v>
      </c>
      <c r="F66" s="20">
        <v>46762</v>
      </c>
      <c r="G66" s="21" t="str">
        <f t="shared" ca="1" si="8"/>
        <v/>
      </c>
      <c r="H66" s="35" t="s">
        <v>973</v>
      </c>
      <c r="I66" s="35"/>
      <c r="J66" s="23"/>
      <c r="K66" s="24">
        <f>شفل57946!F49</f>
        <v>12551500</v>
      </c>
      <c r="L66" s="25">
        <f>شفل57946!G49</f>
        <v>775</v>
      </c>
    </row>
    <row r="67" spans="1:12" ht="24.6" customHeight="1">
      <c r="A67" s="35">
        <f t="shared" si="9"/>
        <v>59</v>
      </c>
      <c r="B67" s="40" t="s">
        <v>901</v>
      </c>
      <c r="C67" s="47" t="s">
        <v>897</v>
      </c>
      <c r="D67" s="17">
        <v>1985</v>
      </c>
      <c r="E67" s="17" t="s">
        <v>1251</v>
      </c>
      <c r="F67" s="20">
        <v>47100</v>
      </c>
      <c r="G67" s="21" t="str">
        <f t="shared" ca="1" si="8"/>
        <v/>
      </c>
      <c r="H67" s="22" t="s">
        <v>1087</v>
      </c>
      <c r="I67" s="17"/>
      <c r="J67" s="23"/>
      <c r="K67" s="24">
        <f>شفل22745!F60</f>
        <v>9356000</v>
      </c>
      <c r="L67" s="25">
        <f>شفل22745!G60</f>
        <v>1680</v>
      </c>
    </row>
    <row r="68" spans="1:12" ht="24.6" customHeight="1">
      <c r="A68" s="35">
        <f t="shared" si="9"/>
        <v>60</v>
      </c>
      <c r="B68" s="18" t="s">
        <v>985</v>
      </c>
      <c r="C68" s="47" t="s">
        <v>908</v>
      </c>
      <c r="D68" s="17">
        <v>2006</v>
      </c>
      <c r="E68" s="17" t="s">
        <v>1251</v>
      </c>
      <c r="F68" s="20">
        <v>44611</v>
      </c>
      <c r="G68" s="21" t="str">
        <f ca="1">IF(F68&lt;NOW(),"تنبية","")</f>
        <v>تنبية</v>
      </c>
      <c r="H68" s="22" t="s">
        <v>1087</v>
      </c>
      <c r="I68" s="17"/>
      <c r="J68" s="23"/>
      <c r="K68" s="24">
        <f>'جي سي بي 8627'!F37</f>
        <v>16000</v>
      </c>
      <c r="L68" s="25">
        <f>'جي سي بي 8627'!G37</f>
        <v>0</v>
      </c>
    </row>
    <row r="69" spans="1:12" ht="24.6" customHeight="1">
      <c r="A69" s="35">
        <f t="shared" si="9"/>
        <v>61</v>
      </c>
      <c r="B69" s="18" t="s">
        <v>979</v>
      </c>
      <c r="C69" s="47" t="s">
        <v>991</v>
      </c>
      <c r="D69" s="17">
        <v>2012</v>
      </c>
      <c r="E69" s="35" t="s">
        <v>937</v>
      </c>
      <c r="F69" s="20"/>
      <c r="G69" s="21" t="str">
        <f t="shared" ref="G69:G73" ca="1" si="10">IF(F69&lt;NOW(),"تنبية","")</f>
        <v>تنبية</v>
      </c>
      <c r="H69" s="22" t="s">
        <v>498</v>
      </c>
      <c r="I69" s="17"/>
      <c r="J69" s="23"/>
      <c r="K69" s="24">
        <f>'96004 شفل '!F35</f>
        <v>0</v>
      </c>
      <c r="L69" s="25">
        <f>'96004 شفل '!G35</f>
        <v>0</v>
      </c>
    </row>
    <row r="70" spans="1:12" ht="24.6" customHeight="1">
      <c r="A70" s="35">
        <f t="shared" si="9"/>
        <v>62</v>
      </c>
      <c r="B70" s="18" t="s">
        <v>1176</v>
      </c>
      <c r="C70" s="47" t="s">
        <v>1177</v>
      </c>
      <c r="D70" s="17">
        <v>2024</v>
      </c>
      <c r="E70" s="17" t="s">
        <v>1251</v>
      </c>
      <c r="F70" s="20">
        <v>47857</v>
      </c>
      <c r="G70" s="21" t="str">
        <f t="shared" ca="1" si="10"/>
        <v/>
      </c>
      <c r="H70" s="22" t="s">
        <v>1087</v>
      </c>
      <c r="I70" s="17"/>
      <c r="J70" s="23"/>
      <c r="K70" s="24"/>
      <c r="L70" s="25"/>
    </row>
    <row r="71" spans="1:12" ht="24.6" customHeight="1">
      <c r="A71" s="35">
        <f t="shared" si="9"/>
        <v>63</v>
      </c>
      <c r="B71" s="18" t="s">
        <v>1250</v>
      </c>
      <c r="C71" s="47" t="s">
        <v>1249</v>
      </c>
      <c r="D71" s="17">
        <v>2018</v>
      </c>
      <c r="E71" s="17" t="s">
        <v>154</v>
      </c>
      <c r="F71" s="20">
        <v>47713</v>
      </c>
      <c r="G71" s="21" t="str">
        <f t="shared" ca="1" si="10"/>
        <v/>
      </c>
      <c r="H71" s="22" t="s">
        <v>1084</v>
      </c>
      <c r="I71" s="17"/>
      <c r="J71" s="23"/>
      <c r="K71" s="24">
        <f>'C8365'!F98</f>
        <v>0</v>
      </c>
      <c r="L71" s="25">
        <f>'C8365'!G98</f>
        <v>0</v>
      </c>
    </row>
    <row r="72" spans="1:12" ht="24.6" customHeight="1">
      <c r="A72" s="35">
        <f t="shared" si="9"/>
        <v>64</v>
      </c>
      <c r="B72" s="18" t="s">
        <v>1176</v>
      </c>
      <c r="C72" s="47">
        <v>366</v>
      </c>
      <c r="D72" s="17">
        <v>1974</v>
      </c>
      <c r="E72" s="17" t="s">
        <v>1251</v>
      </c>
      <c r="F72" s="20">
        <v>36917</v>
      </c>
      <c r="G72" s="21" t="str">
        <f t="shared" ca="1" si="10"/>
        <v>تنبية</v>
      </c>
      <c r="H72" s="22"/>
      <c r="I72" s="17"/>
      <c r="J72" s="23"/>
      <c r="K72" s="24">
        <f>'366'!F98</f>
        <v>1705000</v>
      </c>
      <c r="L72" s="25">
        <f>'366'!G98</f>
        <v>0</v>
      </c>
    </row>
    <row r="73" spans="1:12" ht="24.6" customHeight="1">
      <c r="A73" s="35"/>
      <c r="B73" s="18" t="s">
        <v>1253</v>
      </c>
      <c r="C73" s="199" t="s">
        <v>1254</v>
      </c>
      <c r="D73" s="17">
        <v>2024</v>
      </c>
      <c r="E73" s="17" t="s">
        <v>71</v>
      </c>
      <c r="F73" s="20">
        <v>47519</v>
      </c>
      <c r="G73" s="21" t="str">
        <f t="shared" ca="1" si="10"/>
        <v/>
      </c>
      <c r="H73" s="22" t="s">
        <v>1084</v>
      </c>
      <c r="I73" s="17"/>
      <c r="J73" s="23"/>
      <c r="K73" s="24">
        <f>'C 22730'!F98</f>
        <v>0</v>
      </c>
      <c r="L73" s="25">
        <f>'C 22730'!G98</f>
        <v>0</v>
      </c>
    </row>
    <row r="74" spans="1:12" ht="24.6" customHeight="1">
      <c r="A74" s="200" t="s">
        <v>475</v>
      </c>
      <c r="B74" s="200"/>
      <c r="C74" s="200"/>
      <c r="D74" s="27"/>
      <c r="E74" s="27"/>
      <c r="F74" s="28"/>
      <c r="G74" s="28"/>
      <c r="H74" s="29"/>
      <c r="I74" s="27"/>
      <c r="J74" s="13"/>
      <c r="K74" s="30"/>
      <c r="L74" s="31"/>
    </row>
    <row r="75" spans="1:12" s="16" customFormat="1" ht="24.6" customHeight="1">
      <c r="A75" s="35">
        <f>A72+1</f>
        <v>65</v>
      </c>
      <c r="B75" s="40" t="s">
        <v>904</v>
      </c>
      <c r="C75" s="34" t="s">
        <v>898</v>
      </c>
      <c r="D75" s="35">
        <v>2010</v>
      </c>
      <c r="E75" s="17" t="s">
        <v>1251</v>
      </c>
      <c r="F75" s="41">
        <v>44695</v>
      </c>
      <c r="G75" s="21" t="str">
        <f ca="1">IF(F75&lt;NOW(),"تنبية","")</f>
        <v>تنبية</v>
      </c>
      <c r="H75" s="22" t="s">
        <v>974</v>
      </c>
      <c r="I75" s="35"/>
      <c r="J75" s="37"/>
      <c r="K75" s="38">
        <f>بلدوزر8640!F37</f>
        <v>0</v>
      </c>
      <c r="L75" s="39">
        <f>بلدوزر8640!G37</f>
        <v>0</v>
      </c>
    </row>
    <row r="76" spans="1:12" ht="24.6" customHeight="1">
      <c r="A76" s="35">
        <f>A75+1</f>
        <v>66</v>
      </c>
      <c r="B76" s="18" t="s">
        <v>23</v>
      </c>
      <c r="C76" s="19" t="s">
        <v>905</v>
      </c>
      <c r="D76" s="17">
        <v>1998</v>
      </c>
      <c r="E76" s="17" t="s">
        <v>1251</v>
      </c>
      <c r="F76" s="20">
        <v>46720</v>
      </c>
      <c r="G76" s="21" t="str">
        <f ca="1">IF(F76&lt;NOW(),"تنبية","")</f>
        <v/>
      </c>
      <c r="H76" s="22" t="s">
        <v>974</v>
      </c>
      <c r="I76" s="17"/>
      <c r="J76" s="23"/>
      <c r="K76" s="24">
        <f>' كريدر 50913'!F30</f>
        <v>3674000</v>
      </c>
      <c r="L76" s="25">
        <f>' كريدر 50913'!G30</f>
        <v>0</v>
      </c>
    </row>
    <row r="77" spans="1:12" ht="24.6" customHeight="1">
      <c r="A77" s="35">
        <f t="shared" ref="A77:A78" si="11">A76+1</f>
        <v>67</v>
      </c>
      <c r="B77" s="18" t="s">
        <v>978</v>
      </c>
      <c r="C77" s="19" t="s">
        <v>906</v>
      </c>
      <c r="D77" s="17">
        <v>1998</v>
      </c>
      <c r="E77" s="17" t="s">
        <v>76</v>
      </c>
      <c r="F77" s="20">
        <v>46707</v>
      </c>
      <c r="G77" s="21" t="str">
        <f ca="1">IF(F77&lt;NOW(),"تنبية","")</f>
        <v/>
      </c>
      <c r="H77" s="22" t="s">
        <v>974</v>
      </c>
      <c r="I77" s="17"/>
      <c r="J77" s="23"/>
      <c r="K77" s="24">
        <f>'بلدوزر 50826'!F32</f>
        <v>26220000</v>
      </c>
      <c r="L77" s="25">
        <f>'بلدوزر 50826'!G32</f>
        <v>0</v>
      </c>
    </row>
    <row r="78" spans="1:12" ht="24.6" customHeight="1">
      <c r="A78" s="35">
        <f t="shared" si="11"/>
        <v>68</v>
      </c>
      <c r="B78" s="40" t="s">
        <v>181</v>
      </c>
      <c r="C78" s="53" t="s">
        <v>902</v>
      </c>
      <c r="D78" s="17">
        <v>2010</v>
      </c>
      <c r="E78" s="17" t="s">
        <v>1251</v>
      </c>
      <c r="F78" s="20">
        <v>44695</v>
      </c>
      <c r="G78" s="21" t="str">
        <f ca="1">IF(F78&lt;NOW(),"تنبية","")</f>
        <v>تنبية</v>
      </c>
      <c r="H78" s="22" t="s">
        <v>974</v>
      </c>
      <c r="I78" s="17"/>
      <c r="J78" s="23"/>
      <c r="K78" s="24">
        <f>'بلدوزر 8641'!F36</f>
        <v>28412000</v>
      </c>
      <c r="L78" s="25">
        <f>'بلدوزر 8641'!G36</f>
        <v>0</v>
      </c>
    </row>
    <row r="79" spans="1:12" ht="24.6" customHeight="1">
      <c r="A79" s="200" t="s">
        <v>476</v>
      </c>
      <c r="B79" s="200"/>
      <c r="C79" s="200"/>
      <c r="D79" s="27"/>
      <c r="E79" s="27"/>
      <c r="F79" s="28"/>
      <c r="G79" s="28"/>
      <c r="H79" s="29"/>
      <c r="I79" s="27"/>
      <c r="J79" s="13"/>
      <c r="K79" s="30"/>
      <c r="L79" s="31"/>
    </row>
    <row r="80" spans="1:12" s="16" customFormat="1" ht="24.6" customHeight="1">
      <c r="A80" s="35">
        <f>A78+1</f>
        <v>69</v>
      </c>
      <c r="B80" s="18" t="s">
        <v>32</v>
      </c>
      <c r="C80" s="34" t="s">
        <v>911</v>
      </c>
      <c r="D80" s="35">
        <v>1998</v>
      </c>
      <c r="E80" s="17" t="s">
        <v>76</v>
      </c>
      <c r="F80" s="41">
        <v>46707</v>
      </c>
      <c r="G80" s="21" t="str">
        <f ca="1">IF(F80&lt;NOW(),"تنبية","")</f>
        <v/>
      </c>
      <c r="H80" s="35" t="s">
        <v>973</v>
      </c>
      <c r="I80" s="35"/>
      <c r="J80" s="37"/>
      <c r="K80" s="38">
        <f>'كرين 50827'!F30</f>
        <v>55552000</v>
      </c>
      <c r="L80" s="39">
        <f>'كرين 50827'!G30</f>
        <v>2200</v>
      </c>
    </row>
    <row r="81" spans="1:12" ht="24.6" customHeight="1">
      <c r="A81" s="35">
        <f>A80+1</f>
        <v>70</v>
      </c>
      <c r="B81" s="18" t="s">
        <v>392</v>
      </c>
      <c r="C81" s="19" t="s">
        <v>912</v>
      </c>
      <c r="D81" s="17">
        <v>1994</v>
      </c>
      <c r="E81" s="17" t="s">
        <v>1251</v>
      </c>
      <c r="F81" s="20">
        <v>46885</v>
      </c>
      <c r="G81" s="21" t="str">
        <f ca="1">IF(F81&lt;NOW(),"تنبية","")</f>
        <v/>
      </c>
      <c r="H81" s="35" t="s">
        <v>973</v>
      </c>
      <c r="I81" s="35"/>
      <c r="J81" s="23"/>
      <c r="K81" s="24">
        <f>'كرين 673'!F37</f>
        <v>4419000</v>
      </c>
      <c r="L81" s="25">
        <f>'كرين 673'!G37</f>
        <v>0</v>
      </c>
    </row>
    <row r="82" spans="1:12" ht="24.6" customHeight="1">
      <c r="A82" s="35">
        <f t="shared" ref="A82:A85" si="12">A81+1</f>
        <v>71</v>
      </c>
      <c r="B82" s="18" t="s">
        <v>482</v>
      </c>
      <c r="C82" s="53" t="s">
        <v>914</v>
      </c>
      <c r="D82" s="17">
        <v>1992</v>
      </c>
      <c r="E82" s="17" t="s">
        <v>1251</v>
      </c>
      <c r="F82" s="20">
        <v>46629</v>
      </c>
      <c r="G82" s="21" t="str">
        <f ca="1">IF(F82&lt;NOW(),"تنبية","")</f>
        <v/>
      </c>
      <c r="H82" s="35" t="s">
        <v>973</v>
      </c>
      <c r="I82" s="35"/>
      <c r="J82" s="23"/>
      <c r="K82" s="24">
        <f>' كرين53035'!F31</f>
        <v>10397000</v>
      </c>
      <c r="L82" s="25">
        <f>' كرين53035'!G31</f>
        <v>1000</v>
      </c>
    </row>
    <row r="83" spans="1:12" ht="24.6" customHeight="1">
      <c r="A83" s="35">
        <f t="shared" si="12"/>
        <v>72</v>
      </c>
      <c r="B83" s="18" t="s">
        <v>917</v>
      </c>
      <c r="C83" s="19" t="s">
        <v>915</v>
      </c>
      <c r="D83" s="17">
        <v>1991</v>
      </c>
      <c r="E83" s="17" t="s">
        <v>1251</v>
      </c>
      <c r="F83" s="20">
        <v>43463</v>
      </c>
      <c r="G83" s="21" t="str">
        <f ca="1">IF(F83&lt;NOW(),"تنبية","")</f>
        <v>تنبية</v>
      </c>
      <c r="H83" s="35" t="s">
        <v>973</v>
      </c>
      <c r="I83" s="35"/>
      <c r="J83" s="54" t="s">
        <v>483</v>
      </c>
      <c r="K83" s="24">
        <f>'كرين 2884'!F37</f>
        <v>16442500</v>
      </c>
      <c r="L83" s="25">
        <f>'كرين 2884'!G37</f>
        <v>1250</v>
      </c>
    </row>
    <row r="84" spans="1:12" ht="24.6" customHeight="1">
      <c r="A84" s="35">
        <f t="shared" si="12"/>
        <v>73</v>
      </c>
      <c r="B84" s="18" t="s">
        <v>975</v>
      </c>
      <c r="C84" s="19" t="s">
        <v>916</v>
      </c>
      <c r="D84" s="17">
        <v>1982</v>
      </c>
      <c r="E84" s="17" t="s">
        <v>76</v>
      </c>
      <c r="F84" s="20">
        <v>46714</v>
      </c>
      <c r="G84" s="21" t="str">
        <f ca="1">IF(F84&lt;NOW(),"تنبية","")</f>
        <v/>
      </c>
      <c r="H84" s="35" t="s">
        <v>973</v>
      </c>
      <c r="I84" s="35"/>
      <c r="J84" s="23"/>
      <c r="K84" s="24">
        <f>'كرين 50313'!F43</f>
        <v>24052000</v>
      </c>
      <c r="L84" s="25">
        <f>'كرين 50313'!G43</f>
        <v>630</v>
      </c>
    </row>
    <row r="85" spans="1:12" ht="24.6" customHeight="1">
      <c r="A85" s="35">
        <f t="shared" si="12"/>
        <v>74</v>
      </c>
      <c r="B85" s="18" t="s">
        <v>1172</v>
      </c>
      <c r="C85" s="55" t="s">
        <v>1149</v>
      </c>
      <c r="D85" s="35">
        <v>2020</v>
      </c>
      <c r="E85" s="35" t="s">
        <v>885</v>
      </c>
      <c r="F85" s="41">
        <v>47655</v>
      </c>
      <c r="G85" s="21" t="str">
        <f t="shared" ref="G85" ca="1" si="13">IF(F85&lt;NOW(),"تنبية","")</f>
        <v/>
      </c>
      <c r="H85" s="36"/>
      <c r="I85" s="35"/>
      <c r="J85" s="23"/>
      <c r="K85" s="24"/>
      <c r="L85" s="25"/>
    </row>
    <row r="86" spans="1:12" ht="24.6" customHeight="1">
      <c r="A86" s="200" t="s">
        <v>477</v>
      </c>
      <c r="B86" s="200"/>
      <c r="C86" s="200"/>
      <c r="D86" s="27"/>
      <c r="E86" s="27"/>
      <c r="F86" s="28"/>
      <c r="G86" s="28"/>
      <c r="H86" s="29"/>
      <c r="I86" s="27"/>
      <c r="J86" s="13"/>
      <c r="K86" s="30"/>
      <c r="L86" s="31"/>
    </row>
    <row r="87" spans="1:12" ht="24.6" customHeight="1">
      <c r="A87" s="35">
        <f>A85+1</f>
        <v>75</v>
      </c>
      <c r="B87" s="40" t="s">
        <v>986</v>
      </c>
      <c r="C87" s="19" t="s">
        <v>918</v>
      </c>
      <c r="D87" s="17">
        <v>2009</v>
      </c>
      <c r="E87" s="17" t="s">
        <v>1251</v>
      </c>
      <c r="F87" s="20">
        <v>47084</v>
      </c>
      <c r="G87" s="21" t="str">
        <f t="shared" ref="G87:G94" ca="1" si="14">IF(F87&lt;NOW(),"تنبية","")</f>
        <v/>
      </c>
      <c r="H87" s="36" t="s">
        <v>1087</v>
      </c>
      <c r="I87" s="17"/>
      <c r="J87" s="23"/>
      <c r="K87" s="24">
        <f>'قلاب 98959'!F31</f>
        <v>2325000</v>
      </c>
      <c r="L87" s="25">
        <f>'قلاب 98959'!G31</f>
        <v>450</v>
      </c>
    </row>
    <row r="88" spans="1:12" ht="24.6" customHeight="1">
      <c r="A88" s="35">
        <f>A87+1</f>
        <v>76</v>
      </c>
      <c r="B88" s="40" t="s">
        <v>179</v>
      </c>
      <c r="C88" s="34" t="s">
        <v>919</v>
      </c>
      <c r="D88" s="35">
        <v>2008</v>
      </c>
      <c r="E88" s="35" t="s">
        <v>826</v>
      </c>
      <c r="F88" s="41">
        <v>46616</v>
      </c>
      <c r="G88" s="82" t="str">
        <f t="shared" ca="1" si="14"/>
        <v/>
      </c>
      <c r="H88" s="17" t="s">
        <v>973</v>
      </c>
      <c r="I88" s="17"/>
      <c r="J88" s="23"/>
      <c r="K88" s="24">
        <f>'قلاب 163283'!F32</f>
        <v>12683500</v>
      </c>
      <c r="L88" s="25">
        <f>'قلاب 163283'!G32</f>
        <v>3200</v>
      </c>
    </row>
    <row r="89" spans="1:12" ht="24.6" customHeight="1">
      <c r="A89" s="35">
        <f t="shared" ref="A89:A94" si="15">A88+1</f>
        <v>77</v>
      </c>
      <c r="B89" s="40" t="s">
        <v>179</v>
      </c>
      <c r="C89" s="34" t="s">
        <v>920</v>
      </c>
      <c r="D89" s="35">
        <v>2008</v>
      </c>
      <c r="E89" s="35" t="s">
        <v>826</v>
      </c>
      <c r="F89" s="41">
        <v>46616</v>
      </c>
      <c r="G89" s="82" t="str">
        <f t="shared" ca="1" si="14"/>
        <v/>
      </c>
      <c r="H89" s="17" t="s">
        <v>973</v>
      </c>
      <c r="I89" s="17"/>
      <c r="J89" s="23"/>
      <c r="K89" s="24">
        <f>'قلاب 163529'!F28</f>
        <v>5276000</v>
      </c>
      <c r="L89" s="25">
        <f>'قلاب 163529'!G28</f>
        <v>0</v>
      </c>
    </row>
    <row r="90" spans="1:12" ht="24.6" customHeight="1">
      <c r="A90" s="35">
        <f t="shared" si="15"/>
        <v>78</v>
      </c>
      <c r="B90" s="40" t="s">
        <v>52</v>
      </c>
      <c r="C90" s="26" t="s">
        <v>921</v>
      </c>
      <c r="D90" s="17">
        <v>2006</v>
      </c>
      <c r="E90" s="17" t="s">
        <v>1251</v>
      </c>
      <c r="F90" s="20">
        <v>47336</v>
      </c>
      <c r="G90" s="21" t="str">
        <f t="shared" ca="1" si="14"/>
        <v/>
      </c>
      <c r="H90" s="36" t="s">
        <v>1087</v>
      </c>
      <c r="I90" s="17"/>
      <c r="J90" s="23"/>
      <c r="K90" s="24">
        <f>'قلاب 95072'!F38</f>
        <v>5222000</v>
      </c>
      <c r="L90" s="25">
        <f>'قلاب 95072'!G38</f>
        <v>123</v>
      </c>
    </row>
    <row r="91" spans="1:12" ht="24.6" customHeight="1">
      <c r="A91" s="35">
        <f t="shared" si="15"/>
        <v>79</v>
      </c>
      <c r="B91" s="40" t="s">
        <v>53</v>
      </c>
      <c r="C91" s="26" t="s">
        <v>922</v>
      </c>
      <c r="D91" s="17">
        <v>2006</v>
      </c>
      <c r="E91" s="17" t="s">
        <v>1251</v>
      </c>
      <c r="F91" s="20">
        <v>47346</v>
      </c>
      <c r="G91" s="21" t="str">
        <f t="shared" ca="1" si="14"/>
        <v/>
      </c>
      <c r="H91" s="36" t="s">
        <v>1087</v>
      </c>
      <c r="I91" s="17"/>
      <c r="J91" s="23"/>
      <c r="K91" s="24">
        <f>'قلاب 66478'!F54</f>
        <v>7098000</v>
      </c>
      <c r="L91" s="25">
        <f>'قلاب 66478'!G54</f>
        <v>0</v>
      </c>
    </row>
    <row r="92" spans="1:12" ht="24.6" customHeight="1">
      <c r="A92" s="35">
        <f t="shared" si="15"/>
        <v>80</v>
      </c>
      <c r="B92" s="40" t="s">
        <v>53</v>
      </c>
      <c r="C92" s="26" t="s">
        <v>923</v>
      </c>
      <c r="D92" s="17">
        <v>2006</v>
      </c>
      <c r="E92" s="17" t="s">
        <v>1251</v>
      </c>
      <c r="F92" s="20">
        <v>47304</v>
      </c>
      <c r="G92" s="21" t="str">
        <f t="shared" ca="1" si="14"/>
        <v/>
      </c>
      <c r="H92" s="17" t="s">
        <v>973</v>
      </c>
      <c r="I92" s="17"/>
      <c r="J92" s="23"/>
      <c r="K92" s="24">
        <f>'قلاب 62041'!F59</f>
        <v>14910000</v>
      </c>
      <c r="L92" s="25">
        <f>'قلاب 62041'!G59</f>
        <v>1200</v>
      </c>
    </row>
    <row r="93" spans="1:12" ht="24.6" customHeight="1">
      <c r="A93" s="35">
        <f t="shared" si="15"/>
        <v>81</v>
      </c>
      <c r="B93" s="40" t="s">
        <v>987</v>
      </c>
      <c r="C93" s="26" t="s">
        <v>929</v>
      </c>
      <c r="D93" s="17">
        <v>2009</v>
      </c>
      <c r="E93" s="17" t="s">
        <v>1251</v>
      </c>
      <c r="F93" s="20">
        <v>47335</v>
      </c>
      <c r="G93" s="21" t="str">
        <f t="shared" ca="1" si="14"/>
        <v/>
      </c>
      <c r="H93" s="17" t="s">
        <v>973</v>
      </c>
      <c r="I93" s="17"/>
      <c r="J93" s="23"/>
      <c r="K93" s="24">
        <f>'قلاب 84878'!F66</f>
        <v>24016000</v>
      </c>
      <c r="L93" s="25">
        <f>'قلاب 84878'!G66</f>
        <v>5820</v>
      </c>
    </row>
    <row r="94" spans="1:12" ht="24.6" customHeight="1">
      <c r="A94" s="35">
        <f t="shared" si="15"/>
        <v>82</v>
      </c>
      <c r="B94" s="40" t="s">
        <v>987</v>
      </c>
      <c r="C94" s="26" t="s">
        <v>931</v>
      </c>
      <c r="D94" s="17">
        <v>2009</v>
      </c>
      <c r="E94" s="17" t="s">
        <v>1251</v>
      </c>
      <c r="F94" s="20">
        <v>47341</v>
      </c>
      <c r="G94" s="21" t="str">
        <f t="shared" ca="1" si="14"/>
        <v/>
      </c>
      <c r="H94" s="17" t="s">
        <v>973</v>
      </c>
      <c r="I94" s="17"/>
      <c r="J94" s="23"/>
      <c r="K94" s="24">
        <f>'قلاب 90733'!F71</f>
        <v>14270000</v>
      </c>
      <c r="L94" s="25">
        <f>'قلاب 90733'!G71</f>
        <v>3120</v>
      </c>
    </row>
    <row r="95" spans="1:12" ht="24.6" customHeight="1">
      <c r="A95" s="200" t="s">
        <v>478</v>
      </c>
      <c r="B95" s="200"/>
      <c r="C95" s="200"/>
      <c r="D95" s="27"/>
      <c r="E95" s="27"/>
      <c r="F95" s="28"/>
      <c r="G95" s="28"/>
      <c r="H95" s="29"/>
      <c r="I95" s="27"/>
      <c r="J95" s="13"/>
      <c r="K95" s="30"/>
      <c r="L95" s="31"/>
    </row>
    <row r="96" spans="1:12" ht="24.6" customHeight="1">
      <c r="A96" s="35">
        <f>A94+1</f>
        <v>83</v>
      </c>
      <c r="B96" s="40" t="s">
        <v>924</v>
      </c>
      <c r="C96" s="55" t="s">
        <v>926</v>
      </c>
      <c r="D96" s="35">
        <v>2013</v>
      </c>
      <c r="E96" s="35" t="s">
        <v>467</v>
      </c>
      <c r="F96" s="41">
        <v>47046</v>
      </c>
      <c r="G96" s="82" t="str">
        <f ca="1">IF(F96&lt;NOW(),"تنبية","")</f>
        <v/>
      </c>
      <c r="H96" s="17" t="s">
        <v>973</v>
      </c>
      <c r="I96" s="35"/>
      <c r="J96" s="37"/>
      <c r="K96" s="38">
        <f>تريلة25791!F32</f>
        <v>5888000</v>
      </c>
      <c r="L96" s="39">
        <f>تريلة25791!G32</f>
        <v>500</v>
      </c>
    </row>
    <row r="97" spans="1:12" ht="24.6" customHeight="1">
      <c r="A97" s="35">
        <f>A96+1</f>
        <v>84</v>
      </c>
      <c r="B97" s="40" t="s">
        <v>925</v>
      </c>
      <c r="C97" s="26" t="s">
        <v>928</v>
      </c>
      <c r="D97" s="17">
        <v>2011</v>
      </c>
      <c r="E97" s="17" t="s">
        <v>826</v>
      </c>
      <c r="F97" s="20">
        <v>45929</v>
      </c>
      <c r="G97" s="21" t="str">
        <f ca="1">IF(F97&lt;NOW(),"تنبية","")</f>
        <v>تنبية</v>
      </c>
      <c r="H97" s="17" t="s">
        <v>973</v>
      </c>
      <c r="I97" s="17"/>
      <c r="J97" s="23"/>
      <c r="K97" s="24">
        <f>'تريلة 153869'!F36</f>
        <v>13915000</v>
      </c>
      <c r="L97" s="25">
        <f>'تريلة 153869'!G36</f>
        <v>500</v>
      </c>
    </row>
    <row r="98" spans="1:12" s="16" customFormat="1" ht="24.6" customHeight="1">
      <c r="A98" s="35">
        <f t="shared" ref="A98:A100" si="16">A97+1</f>
        <v>85</v>
      </c>
      <c r="B98" s="40" t="s">
        <v>1132</v>
      </c>
      <c r="C98" s="26" t="s">
        <v>932</v>
      </c>
      <c r="D98" s="17">
        <v>2006</v>
      </c>
      <c r="E98" s="17" t="s">
        <v>467</v>
      </c>
      <c r="F98" s="20">
        <v>46245</v>
      </c>
      <c r="G98" s="21" t="str">
        <f ca="1">IF(F98&lt;NOW(),"تنبية","")</f>
        <v/>
      </c>
      <c r="H98" s="36" t="s">
        <v>1087</v>
      </c>
      <c r="I98" s="17"/>
      <c r="J98" s="23"/>
      <c r="K98" s="24">
        <f>'تريلة 17040'!F49</f>
        <v>27131000</v>
      </c>
      <c r="L98" s="25">
        <f>'تريلة 17040'!G49</f>
        <v>560</v>
      </c>
    </row>
    <row r="99" spans="1:12" ht="24.6" customHeight="1">
      <c r="A99" s="35">
        <f t="shared" si="16"/>
        <v>86</v>
      </c>
      <c r="B99" s="40" t="s">
        <v>1245</v>
      </c>
      <c r="C99" s="26" t="s">
        <v>934</v>
      </c>
      <c r="D99" s="17">
        <v>2014</v>
      </c>
      <c r="E99" s="17" t="s">
        <v>467</v>
      </c>
      <c r="F99" s="20">
        <v>45350</v>
      </c>
      <c r="G99" s="21" t="str">
        <f t="shared" ref="G99:G136" ca="1" si="17">IF(F99&lt;NOW(),"تنبية","")</f>
        <v>تنبية</v>
      </c>
      <c r="H99" s="17" t="s">
        <v>973</v>
      </c>
      <c r="I99" s="17"/>
      <c r="J99" s="23"/>
      <c r="K99" s="24">
        <f>'تريلة 16495'!F35</f>
        <v>4353000</v>
      </c>
      <c r="L99" s="25">
        <f>'تريلة 16495'!G35</f>
        <v>200</v>
      </c>
    </row>
    <row r="100" spans="1:12" s="16" customFormat="1" ht="24.6" customHeight="1">
      <c r="A100" s="35">
        <f t="shared" si="16"/>
        <v>87</v>
      </c>
      <c r="B100" s="40" t="s">
        <v>1148</v>
      </c>
      <c r="C100" s="55" t="s">
        <v>935</v>
      </c>
      <c r="D100" s="35">
        <v>2014</v>
      </c>
      <c r="E100" s="35" t="s">
        <v>467</v>
      </c>
      <c r="F100" s="41">
        <v>47127</v>
      </c>
      <c r="G100" s="21" t="str">
        <f t="shared" ca="1" si="17"/>
        <v/>
      </c>
      <c r="H100" s="36" t="s">
        <v>1087</v>
      </c>
      <c r="I100" s="35"/>
      <c r="J100" s="37"/>
      <c r="K100" s="38">
        <f>تريلة17586!F26</f>
        <v>21257000</v>
      </c>
      <c r="L100" s="39">
        <f>تريلة17586!G26</f>
        <v>0</v>
      </c>
    </row>
    <row r="101" spans="1:12" ht="24.6" customHeight="1">
      <c r="A101" s="200" t="s">
        <v>946</v>
      </c>
      <c r="B101" s="200"/>
      <c r="C101" s="200"/>
      <c r="D101" s="27"/>
      <c r="E101" s="27"/>
      <c r="F101" s="28"/>
      <c r="G101" s="28"/>
      <c r="H101" s="29"/>
      <c r="I101" s="27"/>
      <c r="J101" s="13"/>
      <c r="K101" s="30"/>
      <c r="L101" s="31"/>
    </row>
    <row r="102" spans="1:12" s="16" customFormat="1" ht="24.6" customHeight="1">
      <c r="A102" s="35">
        <f>A100+1</f>
        <v>88</v>
      </c>
      <c r="B102" s="40" t="s">
        <v>41</v>
      </c>
      <c r="C102" s="55" t="s">
        <v>87</v>
      </c>
      <c r="D102" s="35">
        <v>2007</v>
      </c>
      <c r="E102" s="35" t="s">
        <v>937</v>
      </c>
      <c r="F102" s="41"/>
      <c r="G102" s="82" t="str">
        <f t="shared" ca="1" si="17"/>
        <v>تنبية</v>
      </c>
      <c r="H102" s="35" t="s">
        <v>973</v>
      </c>
      <c r="I102" s="35"/>
      <c r="J102" s="37" t="s">
        <v>152</v>
      </c>
      <c r="K102" s="38">
        <f>رافعة41772!F36</f>
        <v>0</v>
      </c>
      <c r="L102" s="39">
        <f>رافعة41772!G36</f>
        <v>0</v>
      </c>
    </row>
    <row r="103" spans="1:12" s="16" customFormat="1" ht="24.6" customHeight="1">
      <c r="A103" s="35">
        <f>A102+1</f>
        <v>89</v>
      </c>
      <c r="B103" s="40" t="s">
        <v>39</v>
      </c>
      <c r="C103" s="55" t="s">
        <v>939</v>
      </c>
      <c r="D103" s="35">
        <v>2019</v>
      </c>
      <c r="E103" s="35" t="s">
        <v>937</v>
      </c>
      <c r="F103" s="41"/>
      <c r="G103" s="82" t="str">
        <f t="shared" ca="1" si="17"/>
        <v>تنبية</v>
      </c>
      <c r="H103" s="36" t="s">
        <v>1087</v>
      </c>
      <c r="I103" s="35"/>
      <c r="J103" s="37" t="s">
        <v>152</v>
      </c>
      <c r="K103" s="38">
        <f>'رافعة 37750'!F25</f>
        <v>1425000</v>
      </c>
      <c r="L103" s="39">
        <f>'رافعة 37750'!G25</f>
        <v>0</v>
      </c>
    </row>
    <row r="104" spans="1:12" s="16" customFormat="1" ht="24.6" customHeight="1">
      <c r="A104" s="35">
        <f t="shared" ref="A104:A111" si="18">A103+1</f>
        <v>90</v>
      </c>
      <c r="B104" s="40" t="s">
        <v>40</v>
      </c>
      <c r="C104" s="55" t="s">
        <v>86</v>
      </c>
      <c r="D104" s="35">
        <v>2012</v>
      </c>
      <c r="E104" s="35" t="s">
        <v>937</v>
      </c>
      <c r="F104" s="41"/>
      <c r="G104" s="82" t="str">
        <f t="shared" ca="1" si="17"/>
        <v>تنبية</v>
      </c>
      <c r="H104" s="35" t="s">
        <v>973</v>
      </c>
      <c r="I104" s="35"/>
      <c r="J104" s="37" t="s">
        <v>152</v>
      </c>
      <c r="K104" s="38">
        <f>رافعة41771!F37</f>
        <v>125000</v>
      </c>
      <c r="L104" s="39">
        <f>رافعة41771!G37</f>
        <v>0</v>
      </c>
    </row>
    <row r="105" spans="1:12" s="16" customFormat="1" ht="24.6" customHeight="1">
      <c r="A105" s="35">
        <f t="shared" si="18"/>
        <v>91</v>
      </c>
      <c r="B105" s="40" t="s">
        <v>159</v>
      </c>
      <c r="C105" s="55" t="s">
        <v>178</v>
      </c>
      <c r="D105" s="35">
        <v>2019</v>
      </c>
      <c r="E105" s="35" t="s">
        <v>937</v>
      </c>
      <c r="F105" s="41"/>
      <c r="G105" s="82" t="str">
        <f t="shared" ca="1" si="17"/>
        <v>تنبية</v>
      </c>
      <c r="H105" s="35" t="s">
        <v>973</v>
      </c>
      <c r="I105" s="35"/>
      <c r="J105" s="37" t="s">
        <v>152</v>
      </c>
      <c r="K105" s="38">
        <f>'رافعة جنية بدون رقم '!F35</f>
        <v>0</v>
      </c>
      <c r="L105" s="39">
        <f>'رافعة جنية بدون رقم '!G35</f>
        <v>0</v>
      </c>
    </row>
    <row r="106" spans="1:12" s="16" customFormat="1" ht="24.6" customHeight="1">
      <c r="A106" s="35">
        <f t="shared" si="18"/>
        <v>92</v>
      </c>
      <c r="B106" s="40" t="s">
        <v>160</v>
      </c>
      <c r="C106" s="55" t="s">
        <v>178</v>
      </c>
      <c r="D106" s="35" t="s">
        <v>937</v>
      </c>
      <c r="E106" s="35" t="s">
        <v>937</v>
      </c>
      <c r="F106" s="41"/>
      <c r="G106" s="82" t="str">
        <f t="shared" ca="1" si="17"/>
        <v>تنبية</v>
      </c>
      <c r="H106" s="35" t="s">
        <v>973</v>
      </c>
      <c r="I106" s="35"/>
      <c r="J106" s="37" t="s">
        <v>152</v>
      </c>
      <c r="K106" s="38">
        <f>'رافعة شوكية  JCB '!F28</f>
        <v>1075000</v>
      </c>
      <c r="L106" s="39">
        <f>'رافعة شوكية  JCB '!G28</f>
        <v>0</v>
      </c>
    </row>
    <row r="107" spans="1:12" ht="24.6" customHeight="1">
      <c r="A107" s="35">
        <f t="shared" si="18"/>
        <v>93</v>
      </c>
      <c r="B107" s="18" t="s">
        <v>31</v>
      </c>
      <c r="C107" s="19" t="s">
        <v>943</v>
      </c>
      <c r="D107" s="17">
        <v>2002</v>
      </c>
      <c r="E107" s="17" t="s">
        <v>1251</v>
      </c>
      <c r="F107" s="20">
        <v>45292</v>
      </c>
      <c r="G107" s="21" t="str">
        <f t="shared" ca="1" si="17"/>
        <v>تنبية</v>
      </c>
      <c r="H107" s="35" t="s">
        <v>973</v>
      </c>
      <c r="I107" s="17"/>
      <c r="J107" s="23" t="s">
        <v>483</v>
      </c>
      <c r="K107" s="24">
        <f>'رافعة 83708'!F37</f>
        <v>4907000</v>
      </c>
      <c r="L107" s="25">
        <f>'رافعة 83708'!G37</f>
        <v>0</v>
      </c>
    </row>
    <row r="108" spans="1:12" s="16" customFormat="1" ht="24.6" customHeight="1">
      <c r="A108" s="35">
        <f t="shared" si="18"/>
        <v>94</v>
      </c>
      <c r="B108" s="18" t="s">
        <v>36</v>
      </c>
      <c r="C108" s="34" t="s">
        <v>944</v>
      </c>
      <c r="D108" s="35">
        <v>2012</v>
      </c>
      <c r="E108" s="17" t="s">
        <v>1251</v>
      </c>
      <c r="F108" s="41">
        <v>43862</v>
      </c>
      <c r="G108" s="21" t="str">
        <f t="shared" ca="1" si="17"/>
        <v>تنبية</v>
      </c>
      <c r="H108" s="35" t="s">
        <v>973</v>
      </c>
      <c r="I108" s="35"/>
      <c r="J108" s="37"/>
      <c r="K108" s="38">
        <f>'رافعة 6765'!F33</f>
        <v>2310000</v>
      </c>
      <c r="L108" s="39">
        <f>'رافعة 6765'!G33</f>
        <v>780</v>
      </c>
    </row>
    <row r="109" spans="1:12" ht="24.6" customHeight="1">
      <c r="A109" s="35">
        <f t="shared" si="18"/>
        <v>95</v>
      </c>
      <c r="B109" s="18" t="s">
        <v>38</v>
      </c>
      <c r="C109" s="19" t="s">
        <v>945</v>
      </c>
      <c r="D109" s="17">
        <v>2007</v>
      </c>
      <c r="E109" s="17" t="s">
        <v>826</v>
      </c>
      <c r="F109" s="20">
        <v>45311</v>
      </c>
      <c r="G109" s="21" t="str">
        <f t="shared" ca="1" si="17"/>
        <v>تنبية</v>
      </c>
      <c r="H109" s="35" t="s">
        <v>973</v>
      </c>
      <c r="I109" s="35"/>
      <c r="J109" s="37"/>
      <c r="K109" s="24">
        <f>رافعة8490!F37</f>
        <v>3030000</v>
      </c>
      <c r="L109" s="25">
        <f>رافعة8490!G37</f>
        <v>0</v>
      </c>
    </row>
    <row r="110" spans="1:12" ht="24.6" customHeight="1">
      <c r="A110" s="35">
        <f t="shared" si="18"/>
        <v>96</v>
      </c>
      <c r="B110" s="40" t="s">
        <v>988</v>
      </c>
      <c r="C110" s="34" t="s">
        <v>910</v>
      </c>
      <c r="D110" s="35">
        <v>2005</v>
      </c>
      <c r="E110" s="17" t="s">
        <v>1251</v>
      </c>
      <c r="F110" s="41">
        <v>45677</v>
      </c>
      <c r="G110" s="82" t="str">
        <f ca="1">IF(F110&lt;NOW(),"تنبية","")</f>
        <v>تنبية</v>
      </c>
      <c r="H110" s="36" t="s">
        <v>1087</v>
      </c>
      <c r="I110" s="17"/>
      <c r="J110" s="23"/>
      <c r="K110" s="24">
        <f>'جي سي بي 57945'!F26</f>
        <v>5525000</v>
      </c>
      <c r="L110" s="25">
        <f>'جي سي بي 57945'!G26</f>
        <v>0</v>
      </c>
    </row>
    <row r="111" spans="1:12" ht="24.6" customHeight="1">
      <c r="A111" s="35">
        <f t="shared" si="18"/>
        <v>97</v>
      </c>
      <c r="B111" s="40" t="s">
        <v>1169</v>
      </c>
      <c r="C111" s="34" t="s">
        <v>1170</v>
      </c>
      <c r="D111" s="35">
        <v>2014</v>
      </c>
      <c r="E111" s="35" t="s">
        <v>1171</v>
      </c>
      <c r="F111" s="41">
        <v>47863</v>
      </c>
      <c r="G111" s="82" t="str">
        <f ca="1">IF(F111&lt;NOW(),"تنبية","")</f>
        <v/>
      </c>
      <c r="H111" s="36" t="s">
        <v>1087</v>
      </c>
      <c r="I111" s="17"/>
      <c r="J111" s="23"/>
      <c r="K111" s="24"/>
      <c r="L111" s="25"/>
    </row>
    <row r="112" spans="1:12" ht="24.6" customHeight="1">
      <c r="A112" s="200" t="s">
        <v>479</v>
      </c>
      <c r="B112" s="200"/>
      <c r="C112" s="200"/>
      <c r="D112" s="27"/>
      <c r="E112" s="27"/>
      <c r="F112" s="28"/>
      <c r="G112" s="28"/>
      <c r="H112" s="29"/>
      <c r="I112" s="27"/>
      <c r="J112" s="13"/>
      <c r="K112" s="30"/>
      <c r="L112" s="31"/>
    </row>
    <row r="113" spans="1:12" ht="24.6" customHeight="1">
      <c r="A113" s="35">
        <f>A111+1</f>
        <v>98</v>
      </c>
      <c r="B113" s="18" t="s">
        <v>42</v>
      </c>
      <c r="C113" s="83" t="s">
        <v>989</v>
      </c>
      <c r="D113" s="17">
        <v>2012</v>
      </c>
      <c r="E113" s="17" t="s">
        <v>154</v>
      </c>
      <c r="F113" s="20">
        <v>46946</v>
      </c>
      <c r="G113" s="21" t="str">
        <f ca="1">IF(F113&lt;NOW(),"تنبية","")</f>
        <v/>
      </c>
      <c r="H113" s="17" t="s">
        <v>973</v>
      </c>
      <c r="I113" s="17"/>
      <c r="J113" s="23"/>
      <c r="K113" s="24">
        <f>'حادلة  بدون رقم'!F36</f>
        <v>80000</v>
      </c>
      <c r="L113" s="52">
        <f>'حادلة  بدون رقم'!G36</f>
        <v>0</v>
      </c>
    </row>
    <row r="114" spans="1:12" ht="24.6" customHeight="1">
      <c r="A114" s="35">
        <f>A113+1</f>
        <v>99</v>
      </c>
      <c r="B114" s="40" t="s">
        <v>43</v>
      </c>
      <c r="C114" s="34" t="s">
        <v>947</v>
      </c>
      <c r="D114" s="35">
        <v>2005</v>
      </c>
      <c r="E114" s="17" t="s">
        <v>1251</v>
      </c>
      <c r="F114" s="41">
        <v>46720</v>
      </c>
      <c r="G114" s="82" t="str">
        <f ca="1">IF(F114&lt;NOW(),"تنبية","")</f>
        <v/>
      </c>
      <c r="H114" s="35" t="s">
        <v>973</v>
      </c>
      <c r="I114" s="35"/>
      <c r="J114" s="37"/>
      <c r="K114" s="38">
        <f>'حادلة 57947'!F32</f>
        <v>1385000</v>
      </c>
      <c r="L114" s="39">
        <f>'حادلة 57947'!G32</f>
        <v>0</v>
      </c>
    </row>
    <row r="115" spans="1:12" s="16" customFormat="1" ht="24.6" customHeight="1">
      <c r="A115" s="35">
        <f t="shared" ref="A115:A117" si="19">A114+1</f>
        <v>100</v>
      </c>
      <c r="B115" s="40" t="s">
        <v>162</v>
      </c>
      <c r="C115" s="34" t="s">
        <v>948</v>
      </c>
      <c r="D115" s="35">
        <v>2005</v>
      </c>
      <c r="E115" s="17" t="s">
        <v>1251</v>
      </c>
      <c r="F115" s="41">
        <v>46720</v>
      </c>
      <c r="G115" s="82" t="str">
        <f ca="1">IF(F115&lt;NOW(),"تنبية","")</f>
        <v/>
      </c>
      <c r="H115" s="36" t="s">
        <v>499</v>
      </c>
      <c r="I115" s="35"/>
      <c r="J115" s="37"/>
      <c r="K115" s="38">
        <f>'حادلة 57942'!F31</f>
        <v>5432000</v>
      </c>
      <c r="L115" s="39">
        <f>'حادلة 57942'!G31</f>
        <v>0</v>
      </c>
    </row>
    <row r="116" spans="1:12" ht="24.6" customHeight="1">
      <c r="A116" s="35">
        <f t="shared" si="19"/>
        <v>101</v>
      </c>
      <c r="B116" s="40" t="s">
        <v>44</v>
      </c>
      <c r="C116" s="34" t="s">
        <v>949</v>
      </c>
      <c r="D116" s="35">
        <v>2005</v>
      </c>
      <c r="E116" s="17" t="s">
        <v>1251</v>
      </c>
      <c r="F116" s="41">
        <v>44611</v>
      </c>
      <c r="G116" s="82" t="str">
        <f ca="1">IF(F116&lt;NOW(),"تنبية","")</f>
        <v>تنبية</v>
      </c>
      <c r="H116" s="36" t="s">
        <v>499</v>
      </c>
      <c r="I116" s="35"/>
      <c r="J116" s="37"/>
      <c r="K116" s="38">
        <f>'حادلة 8621'!F37</f>
        <v>0</v>
      </c>
      <c r="L116" s="39">
        <f>'حادلة 8621'!G37</f>
        <v>0</v>
      </c>
    </row>
    <row r="117" spans="1:12" s="16" customFormat="1" ht="24.6" customHeight="1">
      <c r="A117" s="35">
        <f t="shared" si="19"/>
        <v>102</v>
      </c>
      <c r="B117" s="40" t="s">
        <v>950</v>
      </c>
      <c r="C117" s="55" t="s">
        <v>88</v>
      </c>
      <c r="D117" s="35"/>
      <c r="E117" s="35" t="s">
        <v>937</v>
      </c>
      <c r="F117" s="41"/>
      <c r="G117" s="82" t="str">
        <f ca="1">IF(F117&lt;NOW(),"تنبية","")</f>
        <v>تنبية</v>
      </c>
      <c r="H117" s="35" t="s">
        <v>973</v>
      </c>
      <c r="I117" s="35"/>
      <c r="J117" s="37" t="s">
        <v>152</v>
      </c>
      <c r="K117" s="38">
        <f>'حادلة 2 طن '!F36</f>
        <v>0</v>
      </c>
      <c r="L117" s="39">
        <f>'حادلة 2 طن '!G36</f>
        <v>0</v>
      </c>
    </row>
    <row r="118" spans="1:12" ht="24.6" customHeight="1">
      <c r="A118" s="200" t="s">
        <v>480</v>
      </c>
      <c r="B118" s="200"/>
      <c r="C118" s="200"/>
      <c r="D118" s="27"/>
      <c r="E118" s="27"/>
      <c r="F118" s="28"/>
      <c r="G118" s="28"/>
      <c r="H118" s="29"/>
      <c r="I118" s="27"/>
      <c r="J118" s="13"/>
      <c r="K118" s="30"/>
      <c r="L118" s="31"/>
    </row>
    <row r="119" spans="1:12" ht="24.6" customHeight="1">
      <c r="A119" s="35">
        <f>A117+1</f>
        <v>103</v>
      </c>
      <c r="B119" s="18" t="s">
        <v>977</v>
      </c>
      <c r="C119" s="19" t="s">
        <v>951</v>
      </c>
      <c r="D119" s="17">
        <v>2006</v>
      </c>
      <c r="E119" s="17" t="s">
        <v>1251</v>
      </c>
      <c r="F119" s="20">
        <v>44816</v>
      </c>
      <c r="G119" s="21" t="str">
        <f ca="1">IF(F119&lt;NOW(),"تنبية","")</f>
        <v>تنبية</v>
      </c>
      <c r="H119" s="17" t="s">
        <v>973</v>
      </c>
      <c r="I119" s="17"/>
      <c r="J119" s="23"/>
      <c r="K119" s="24">
        <f>'دنبر 9579'!F37</f>
        <v>1568000</v>
      </c>
      <c r="L119" s="25">
        <f>'دنبر 9579'!G37</f>
        <v>55</v>
      </c>
    </row>
    <row r="120" spans="1:12" ht="24.6" customHeight="1">
      <c r="A120" s="35">
        <f>A119+1</f>
        <v>104</v>
      </c>
      <c r="B120" s="18" t="s">
        <v>55</v>
      </c>
      <c r="C120" s="19" t="s">
        <v>952</v>
      </c>
      <c r="D120" s="17">
        <v>2002</v>
      </c>
      <c r="E120" s="17" t="s">
        <v>1251</v>
      </c>
      <c r="F120" s="20">
        <v>44611</v>
      </c>
      <c r="G120" s="21" t="str">
        <f ca="1">IF(F120&lt;NOW(),"تنبية","")</f>
        <v>تنبية</v>
      </c>
      <c r="H120" s="22" t="s">
        <v>499</v>
      </c>
      <c r="I120" s="17"/>
      <c r="J120" s="23"/>
      <c r="K120" s="24">
        <f>'دنبر 8620'!F37</f>
        <v>480000</v>
      </c>
      <c r="L120" s="25">
        <f>'دنبر 8620'!G37</f>
        <v>0</v>
      </c>
    </row>
    <row r="121" spans="1:12" ht="24.6" customHeight="1">
      <c r="A121" s="35">
        <f t="shared" ref="A121:A122" si="20">A120+1</f>
        <v>105</v>
      </c>
      <c r="B121" s="18" t="s">
        <v>977</v>
      </c>
      <c r="C121" s="19" t="s">
        <v>954</v>
      </c>
      <c r="D121" s="17">
        <v>2002</v>
      </c>
      <c r="E121" s="17" t="s">
        <v>1251</v>
      </c>
      <c r="F121" s="20">
        <v>44816</v>
      </c>
      <c r="G121" s="21" t="str">
        <f ca="1">IF(F121&lt;NOW(),"تنبية","")</f>
        <v>تنبية</v>
      </c>
      <c r="H121" s="17" t="s">
        <v>973</v>
      </c>
      <c r="I121" s="17"/>
      <c r="J121" s="23"/>
      <c r="K121" s="24">
        <f>'دنبر 9470'!F36</f>
        <v>35000</v>
      </c>
      <c r="L121" s="25">
        <f>'دنبر 9470'!G36</f>
        <v>55</v>
      </c>
    </row>
    <row r="122" spans="1:12" ht="24.6" customHeight="1">
      <c r="A122" s="35">
        <f t="shared" si="20"/>
        <v>106</v>
      </c>
      <c r="B122" s="18" t="s">
        <v>976</v>
      </c>
      <c r="C122" s="19" t="s">
        <v>955</v>
      </c>
      <c r="D122" s="17">
        <v>2002</v>
      </c>
      <c r="E122" s="17" t="s">
        <v>1251</v>
      </c>
      <c r="F122" s="20">
        <v>44816</v>
      </c>
      <c r="G122" s="21" t="str">
        <f ca="1">IF(F122&lt;NOW(),"تنبية","")</f>
        <v>تنبية</v>
      </c>
      <c r="H122" s="17" t="s">
        <v>973</v>
      </c>
      <c r="I122" s="17"/>
      <c r="J122" s="23"/>
      <c r="K122" s="24">
        <f>'دنبر 9239'!F36</f>
        <v>1159000</v>
      </c>
      <c r="L122" s="25">
        <f>'دنبر 9239'!G36</f>
        <v>0</v>
      </c>
    </row>
    <row r="123" spans="1:12" ht="24.6" customHeight="1">
      <c r="A123" s="200" t="s">
        <v>959</v>
      </c>
      <c r="B123" s="200"/>
      <c r="C123" s="200"/>
      <c r="D123" s="27"/>
      <c r="E123" s="27"/>
      <c r="F123" s="28"/>
      <c r="G123" s="28"/>
      <c r="H123" s="29"/>
      <c r="I123" s="27"/>
      <c r="J123" s="13"/>
      <c r="K123" s="30"/>
      <c r="L123" s="31"/>
    </row>
    <row r="124" spans="1:12" ht="24.6" customHeight="1">
      <c r="A124" s="35">
        <f>A122+1</f>
        <v>107</v>
      </c>
      <c r="B124" s="57" t="s">
        <v>49</v>
      </c>
      <c r="C124" s="58" t="s">
        <v>88</v>
      </c>
      <c r="D124" s="56" t="s">
        <v>937</v>
      </c>
      <c r="E124" s="35" t="s">
        <v>937</v>
      </c>
      <c r="F124" s="63"/>
      <c r="G124" s="59" t="str">
        <f t="shared" ca="1" si="17"/>
        <v>تنبية</v>
      </c>
      <c r="H124" s="64" t="s">
        <v>1087</v>
      </c>
      <c r="I124" s="56"/>
      <c r="J124" s="60" t="s">
        <v>152</v>
      </c>
      <c r="K124" s="61">
        <f>تنكر!F37</f>
        <v>535000</v>
      </c>
      <c r="L124" s="62">
        <f>تنكر!G37</f>
        <v>0</v>
      </c>
    </row>
    <row r="125" spans="1:12" ht="24.6" customHeight="1">
      <c r="A125" s="35">
        <f>A124+1</f>
        <v>108</v>
      </c>
      <c r="B125" s="18" t="s">
        <v>47</v>
      </c>
      <c r="C125" s="26" t="s">
        <v>956</v>
      </c>
      <c r="D125" s="17">
        <v>2004</v>
      </c>
      <c r="E125" s="17" t="s">
        <v>1251</v>
      </c>
      <c r="F125" s="20">
        <v>47343</v>
      </c>
      <c r="G125" s="21" t="str">
        <f t="shared" ca="1" si="17"/>
        <v/>
      </c>
      <c r="H125" s="22" t="s">
        <v>1087</v>
      </c>
      <c r="I125" s="17"/>
      <c r="J125" s="23"/>
      <c r="K125" s="24">
        <f>تنكر62587!F25</f>
        <v>7303000</v>
      </c>
      <c r="L125" s="25">
        <f>تنكر62587!G25</f>
        <v>0</v>
      </c>
    </row>
    <row r="126" spans="1:12" ht="24.6" customHeight="1">
      <c r="A126" s="35">
        <f>A125+1</f>
        <v>109</v>
      </c>
      <c r="B126" s="18" t="s">
        <v>383</v>
      </c>
      <c r="C126" s="19" t="s">
        <v>957</v>
      </c>
      <c r="D126" s="17">
        <v>1996</v>
      </c>
      <c r="E126" s="17" t="s">
        <v>1251</v>
      </c>
      <c r="F126" s="20">
        <v>45655</v>
      </c>
      <c r="G126" s="21" t="str">
        <f t="shared" ca="1" si="17"/>
        <v>تنبية</v>
      </c>
      <c r="H126" s="22" t="s">
        <v>499</v>
      </c>
      <c r="I126" s="17"/>
      <c r="J126" s="23"/>
      <c r="K126" s="24">
        <f>تنكر58565!F47</f>
        <v>10150000</v>
      </c>
      <c r="L126" s="25">
        <f>تنكر58565!G47</f>
        <v>3500</v>
      </c>
    </row>
    <row r="127" spans="1:12" ht="24.6" customHeight="1">
      <c r="A127" s="200" t="s">
        <v>481</v>
      </c>
      <c r="B127" s="200"/>
      <c r="C127" s="200"/>
      <c r="D127" s="27"/>
      <c r="E127" s="27"/>
      <c r="F127" s="28"/>
      <c r="G127" s="28"/>
      <c r="H127" s="29"/>
      <c r="I127" s="27"/>
      <c r="J127" s="13"/>
      <c r="K127" s="30"/>
      <c r="L127" s="31"/>
    </row>
    <row r="128" spans="1:12" ht="24.6" customHeight="1">
      <c r="A128" s="35">
        <f>A126+1</f>
        <v>110</v>
      </c>
      <c r="B128" s="18" t="s">
        <v>284</v>
      </c>
      <c r="C128" s="26" t="s">
        <v>78</v>
      </c>
      <c r="D128" s="17">
        <v>1998</v>
      </c>
      <c r="E128" s="17" t="s">
        <v>1251</v>
      </c>
      <c r="F128" s="20">
        <v>42805</v>
      </c>
      <c r="G128" s="21" t="str">
        <f t="shared" ca="1" si="17"/>
        <v>تنبية</v>
      </c>
      <c r="H128" s="17" t="s">
        <v>973</v>
      </c>
      <c r="I128" s="17"/>
      <c r="J128" s="23"/>
      <c r="K128" s="24">
        <f>مضخة12248!F50</f>
        <v>12623000</v>
      </c>
      <c r="L128" s="25">
        <f>مضخة12248!G50</f>
        <v>2350</v>
      </c>
    </row>
    <row r="129" spans="1:12" ht="24.6" customHeight="1">
      <c r="A129" s="35">
        <f>A128+1</f>
        <v>111</v>
      </c>
      <c r="B129" s="18" t="s">
        <v>13</v>
      </c>
      <c r="C129" s="19" t="s">
        <v>958</v>
      </c>
      <c r="D129" s="17">
        <v>2007</v>
      </c>
      <c r="E129" s="17" t="s">
        <v>1251</v>
      </c>
      <c r="F129" s="20">
        <v>47090</v>
      </c>
      <c r="G129" s="21" t="str">
        <f t="shared" ca="1" si="17"/>
        <v/>
      </c>
      <c r="H129" s="17" t="s">
        <v>973</v>
      </c>
      <c r="I129" s="17"/>
      <c r="J129" s="23"/>
      <c r="K129" s="24">
        <f>'مضخة 44915'!F30</f>
        <v>7811250</v>
      </c>
      <c r="L129" s="25">
        <f>'مضخة 44915'!G30</f>
        <v>1425</v>
      </c>
    </row>
    <row r="130" spans="1:12" ht="24.6" customHeight="1">
      <c r="A130" s="200" t="s">
        <v>107</v>
      </c>
      <c r="B130" s="200"/>
      <c r="C130" s="200"/>
      <c r="D130" s="27"/>
      <c r="E130" s="27"/>
      <c r="F130" s="28"/>
      <c r="G130" s="28"/>
      <c r="H130" s="29"/>
      <c r="I130" s="27"/>
      <c r="J130" s="13"/>
      <c r="K130" s="30"/>
      <c r="L130" s="31"/>
    </row>
    <row r="131" spans="1:12" ht="24.6" customHeight="1">
      <c r="A131" s="35">
        <f>A129+1</f>
        <v>112</v>
      </c>
      <c r="B131" s="18" t="s">
        <v>37</v>
      </c>
      <c r="C131" s="19" t="s">
        <v>960</v>
      </c>
      <c r="D131" s="17">
        <v>2011</v>
      </c>
      <c r="E131" s="17" t="s">
        <v>1251</v>
      </c>
      <c r="F131" s="20">
        <v>44530</v>
      </c>
      <c r="G131" s="21" t="str">
        <f t="shared" ca="1" si="17"/>
        <v>تنبية</v>
      </c>
      <c r="H131" s="22" t="s">
        <v>971</v>
      </c>
      <c r="I131" s="17"/>
      <c r="J131" s="23"/>
      <c r="K131" s="24">
        <f>'رافعة 8321'!F37</f>
        <v>1870000</v>
      </c>
      <c r="L131" s="25">
        <f>'رافعة 8321'!G37</f>
        <v>0</v>
      </c>
    </row>
    <row r="132" spans="1:12" ht="24.6" customHeight="1">
      <c r="A132" s="35">
        <f>A131+1</f>
        <v>113</v>
      </c>
      <c r="B132" s="18" t="s">
        <v>66</v>
      </c>
      <c r="C132" s="19" t="s">
        <v>965</v>
      </c>
      <c r="D132" s="17">
        <v>2010</v>
      </c>
      <c r="E132" s="17" t="s">
        <v>75</v>
      </c>
      <c r="F132" s="20">
        <v>46043</v>
      </c>
      <c r="G132" s="21" t="str">
        <f t="shared" ca="1" si="17"/>
        <v>تنبية</v>
      </c>
      <c r="H132" s="22" t="s">
        <v>971</v>
      </c>
      <c r="I132" s="17"/>
      <c r="J132" s="23"/>
      <c r="K132" s="24">
        <f>'حافلة 41695'!F37</f>
        <v>0</v>
      </c>
      <c r="L132" s="25">
        <f>'حافلة 41695'!G37</f>
        <v>0</v>
      </c>
    </row>
    <row r="133" spans="1:12" ht="24.6" customHeight="1">
      <c r="A133" s="35">
        <f t="shared" ref="A133:A134" si="21">A132+1</f>
        <v>114</v>
      </c>
      <c r="B133" s="18" t="s">
        <v>67</v>
      </c>
      <c r="C133" s="19" t="s">
        <v>967</v>
      </c>
      <c r="D133" s="17">
        <v>2001</v>
      </c>
      <c r="E133" s="17" t="s">
        <v>1251</v>
      </c>
      <c r="F133" s="20">
        <v>43655</v>
      </c>
      <c r="G133" s="21" t="str">
        <f t="shared" ca="1" si="17"/>
        <v>تنبية</v>
      </c>
      <c r="H133" s="22" t="s">
        <v>971</v>
      </c>
      <c r="I133" s="17"/>
      <c r="J133" s="23"/>
      <c r="K133" s="24">
        <f>'حافلة 26579'!F37</f>
        <v>0</v>
      </c>
      <c r="L133" s="25">
        <f>'حافلة 26579'!G37</f>
        <v>0</v>
      </c>
    </row>
    <row r="134" spans="1:12" ht="24.6" customHeight="1">
      <c r="A134" s="35">
        <f t="shared" si="21"/>
        <v>115</v>
      </c>
      <c r="B134" s="18" t="s">
        <v>54</v>
      </c>
      <c r="C134" s="19" t="s">
        <v>968</v>
      </c>
      <c r="D134" s="17">
        <v>1992</v>
      </c>
      <c r="E134" s="18" t="s">
        <v>74</v>
      </c>
      <c r="F134" s="20">
        <v>39020</v>
      </c>
      <c r="G134" s="21" t="str">
        <f ca="1">IF(F134&lt;NOW(),"تنبية","")</f>
        <v>تنبية</v>
      </c>
      <c r="H134" s="22" t="s">
        <v>971</v>
      </c>
      <c r="I134" s="17"/>
      <c r="J134" s="23"/>
      <c r="K134" s="24">
        <f>'قلاب 45750'!F37</f>
        <v>0</v>
      </c>
      <c r="L134" s="25">
        <f>'قلاب 45750'!G37</f>
        <v>0</v>
      </c>
    </row>
    <row r="135" spans="1:12" ht="24.6" customHeight="1">
      <c r="A135" s="200" t="s">
        <v>164</v>
      </c>
      <c r="B135" s="200" t="s">
        <v>161</v>
      </c>
      <c r="C135" s="200"/>
      <c r="D135" s="27"/>
      <c r="E135" s="27"/>
      <c r="F135" s="28"/>
      <c r="G135" s="28"/>
      <c r="H135" s="29"/>
      <c r="I135" s="27"/>
      <c r="J135" s="13"/>
      <c r="K135" s="30"/>
      <c r="L135" s="31"/>
    </row>
    <row r="136" spans="1:12" ht="24.6" customHeight="1">
      <c r="A136" s="35">
        <f>A134+1</f>
        <v>116</v>
      </c>
      <c r="B136" s="18" t="s">
        <v>149</v>
      </c>
      <c r="C136" s="26" t="s">
        <v>969</v>
      </c>
      <c r="D136" s="17">
        <v>2011</v>
      </c>
      <c r="E136" s="17" t="s">
        <v>150</v>
      </c>
      <c r="F136" s="20">
        <v>47662</v>
      </c>
      <c r="G136" s="21" t="str">
        <f t="shared" ca="1" si="17"/>
        <v/>
      </c>
      <c r="H136" s="22"/>
      <c r="I136" s="81" t="s">
        <v>972</v>
      </c>
      <c r="J136" s="23"/>
      <c r="K136" s="24">
        <f>'ماكنة طرق51679 '!F34</f>
        <v>0</v>
      </c>
      <c r="L136" s="25">
        <f>'ماكنة طرق51679 '!G34</f>
        <v>0</v>
      </c>
    </row>
    <row r="137" spans="1:12" ht="24.6" customHeight="1">
      <c r="A137" s="17"/>
      <c r="B137" s="18"/>
      <c r="C137" s="17"/>
      <c r="D137" s="17"/>
      <c r="E137" s="17"/>
      <c r="F137" s="20"/>
      <c r="G137" s="21"/>
      <c r="H137" s="65"/>
      <c r="I137" s="17"/>
      <c r="J137" s="23"/>
      <c r="K137" s="24"/>
      <c r="L137" s="25"/>
    </row>
    <row r="138" spans="1:12" ht="24.6" customHeight="1">
      <c r="A138" s="66"/>
      <c r="B138" s="67" t="s">
        <v>97</v>
      </c>
      <c r="C138" s="66"/>
      <c r="D138" s="66"/>
      <c r="E138" s="66"/>
      <c r="F138" s="68"/>
      <c r="G138" s="84"/>
      <c r="H138" s="69"/>
      <c r="I138" s="66"/>
      <c r="J138" s="70"/>
      <c r="K138" s="71">
        <f t="shared" ref="K138:L138" si="22">SUM(K4:K136)</f>
        <v>648770570</v>
      </c>
      <c r="L138" s="72">
        <f t="shared" si="22"/>
        <v>58191</v>
      </c>
    </row>
  </sheetData>
  <autoFilter ref="A2:L138" xr:uid="{00000000-0009-0000-0000-000000000000}"/>
  <sortState xmlns:xlrd2="http://schemas.microsoft.com/office/spreadsheetml/2017/richdata2" ref="A120:L123">
    <sortCondition descending="1" ref="D120:D123"/>
  </sortState>
  <mergeCells count="18">
    <mergeCell ref="A95:C95"/>
    <mergeCell ref="A101:C101"/>
    <mergeCell ref="A112:C112"/>
    <mergeCell ref="A57:C57"/>
    <mergeCell ref="A74:C74"/>
    <mergeCell ref="A79:C79"/>
    <mergeCell ref="A86:C86"/>
    <mergeCell ref="A1:L1"/>
    <mergeCell ref="A3:C3"/>
    <mergeCell ref="A11:C11"/>
    <mergeCell ref="A34:C34"/>
    <mergeCell ref="A44:C44"/>
    <mergeCell ref="A23:C23"/>
    <mergeCell ref="A118:C118"/>
    <mergeCell ref="A123:C123"/>
    <mergeCell ref="A127:C127"/>
    <mergeCell ref="A135:C135"/>
    <mergeCell ref="A130:C130"/>
  </mergeCells>
  <phoneticPr fontId="4" type="noConversion"/>
  <hyperlinks>
    <hyperlink ref="C36" location="'خباطة 94900'!A1" display="94900 بغداد- ط  " xr:uid="{00000000-0004-0000-0000-000000000000}"/>
    <hyperlink ref="C129" location="'مضخة 44915'!A1" display="44915 بغداد - ن" xr:uid="{00000000-0004-0000-0000-000001000000}"/>
    <hyperlink ref="C128" location="مضخة12248!A1" display="بغداد 12248" xr:uid="{00000000-0004-0000-0000-000002000000}"/>
    <hyperlink ref="C50" location="'حفارة 8623'!A1" display="بصرة 8623" xr:uid="{00000000-0004-0000-0000-000003000000}"/>
    <hyperlink ref="C52" location="'حفارة 9726'!A1" display="بصرة 9726" xr:uid="{00000000-0004-0000-0000-000004000000}"/>
    <hyperlink ref="C54" location="'حفارة 58180'!A1" display="بغداد 58180" xr:uid="{00000000-0004-0000-0000-000005000000}"/>
    <hyperlink ref="C56" location="'حفارر 58178'!A1" display="بغداد 58178" xr:uid="{00000000-0004-0000-0000-000006000000}"/>
    <hyperlink ref="C45" location="حفار9315!A1" display="9315 سليمانية" xr:uid="{00000000-0004-0000-0000-000007000000}"/>
    <hyperlink ref="C53" location="حفار8305!A1" display="8305 أربيل" xr:uid="{00000000-0004-0000-0000-000008000000}"/>
    <hyperlink ref="C47" location="حفار9499!A1" display="9499 سليمانية " xr:uid="{00000000-0004-0000-0000-000009000000}"/>
    <hyperlink ref="C76" location="' كريدر 50913'!A1" display="50913  ط  بغداد" xr:uid="{00000000-0004-0000-0000-00000A000000}"/>
    <hyperlink ref="C77" location="'بلدوزر 50826'!A1" display="50826  ط  بغداد" xr:uid="{00000000-0004-0000-0000-00000B000000}"/>
    <hyperlink ref="C62" location="شفل77701!A1" display="77701 بغداد " xr:uid="{00000000-0004-0000-0000-00000C000000}"/>
    <hyperlink ref="C60" location="شفل6010!A1" display="6010 سليمانية " xr:uid="{00000000-0004-0000-0000-00000D000000}"/>
    <hyperlink ref="C63" location="شفل2493!A1" display="شفل2493!A1" xr:uid="{00000000-0004-0000-0000-00000E000000}"/>
    <hyperlink ref="C110" location="'جي سي بي 57945'!A1" display="بغداد 57945" xr:uid="{00000000-0004-0000-0000-00000F000000}"/>
    <hyperlink ref="C64" location="شفل57943!A1" display="بغداد 57943" xr:uid="{00000000-0004-0000-0000-000010000000}"/>
    <hyperlink ref="C66" location="شفل57946!A1" display="بغداد 57946" xr:uid="{00000000-0004-0000-0000-000011000000}"/>
    <hyperlink ref="C59" location="شفل8664!A1" display="8664 سليمانية " xr:uid="{00000000-0004-0000-0000-000012000000}"/>
    <hyperlink ref="C80" location="'كرين 50827'!A1" display="بغداد 50827" xr:uid="{00000000-0004-0000-0000-000013000000}"/>
    <hyperlink ref="C38" location="'خباطة 29501'!A1" display="29501 بغداد -ك" xr:uid="{00000000-0004-0000-0000-000014000000}"/>
    <hyperlink ref="C39" location="'خباطة 60036'!A1" display="60036 بغداد " xr:uid="{00000000-0004-0000-0000-000015000000}"/>
    <hyperlink ref="C58" location="شفل9595!A1" display="9595 سليمانية " xr:uid="{00000000-0004-0000-0000-000016000000}"/>
    <hyperlink ref="C68" location="'جي سي بي 8627'!A1" display="8627  أ  بصرة" xr:uid="{00000000-0004-0000-0000-000017000000}"/>
    <hyperlink ref="C107" location="'رافعة 83708'!A1" display="83708 ك  بغداد" xr:uid="{00000000-0004-0000-0000-000018000000}"/>
    <hyperlink ref="C81" location="'كرين 673'!A1" display="أنبار  673" xr:uid="{00000000-0004-0000-0000-000019000000}"/>
    <hyperlink ref="C83" location="'كرين 2884'!A1" display="2884انبار" xr:uid="{00000000-0004-0000-0000-00001A000000}"/>
    <hyperlink ref="C84" location="'كرين 50313'!A1" display="بغداد 50313" xr:uid="{00000000-0004-0000-0000-00001B000000}"/>
    <hyperlink ref="C108" location="'رافعة 6765'!A1" display="بصرة 6765" xr:uid="{00000000-0004-0000-0000-00001C000000}"/>
    <hyperlink ref="C131" location="'رافعة 8321'!A1" display="بصرة 8321" xr:uid="{00000000-0004-0000-0000-00001D000000}"/>
    <hyperlink ref="C109" location="رافعة8490!A1" display="8490 سليمانبة " xr:uid="{00000000-0004-0000-0000-00001E000000}"/>
    <hyperlink ref="C103" location="'رافعة 37750'!A1" display="37750 كاتي سليمانية" xr:uid="{00000000-0004-0000-0000-00001F000000}"/>
    <hyperlink ref="C104" location="رافعة41771!A1" display="41771 - كاتي سليمانبية " xr:uid="{00000000-0004-0000-0000-000020000000}"/>
    <hyperlink ref="C102" location="رافعة41772!A1" display="41772 - كاتي سليمانبية " xr:uid="{00000000-0004-0000-0000-000021000000}"/>
    <hyperlink ref="C115" location="'حادلة 57942'!A1" display="57942  ط  بغداد" xr:uid="{00000000-0004-0000-0000-000022000000}"/>
    <hyperlink ref="C114" location="'حادلة 57947'!A1" display="57947  ط  بغداد" xr:uid="{00000000-0004-0000-0000-000023000000}"/>
    <hyperlink ref="C116" location="'حادلة 8621'!A1" display="بصرة 8621" xr:uid="{00000000-0004-0000-0000-000024000000}"/>
    <hyperlink ref="C87" location="'قلاب 98959'!A1" display="98959 بغداد " xr:uid="{00000000-0004-0000-0000-000025000000}"/>
    <hyperlink ref="C125" location="تنكر62587!A1" display="62587  بغداد " xr:uid="{00000000-0004-0000-0000-000026000000}"/>
    <hyperlink ref="C126" location="تنكر58565!A1" display="بغداد 58565" xr:uid="{00000000-0004-0000-0000-000027000000}"/>
    <hyperlink ref="C124" location="تنكر!A1" display="بدون تسجيل" xr:uid="{00000000-0004-0000-0000-000028000000}"/>
    <hyperlink ref="C94" location="'قلاب 90733'!A1" display="'قلاب 90733'!A1" xr:uid="{00000000-0004-0000-0000-000029000000}"/>
    <hyperlink ref="C93" location="'قلاب 84878'!A1" display="11 W 84878" xr:uid="{00000000-0004-0000-0000-00002A000000}"/>
    <hyperlink ref="C92" location="'قلاب 62041'!A1" display="62041 بغداد " xr:uid="{00000000-0004-0000-0000-00002B000000}"/>
    <hyperlink ref="C134" location="'قلاب 45750'!A1" display="كركوك- 45750" xr:uid="{00000000-0004-0000-0000-00002C000000}"/>
    <hyperlink ref="C119" location="'دنبر 9579'!A1" display="بصرة 9579" xr:uid="{00000000-0004-0000-0000-00002D000000}"/>
    <hyperlink ref="C120" location="'دنبر 8620'!A1" display="بصرة 8620" xr:uid="{00000000-0004-0000-0000-00002E000000}"/>
    <hyperlink ref="C97" location="'تريلة 153869'!A1" display="'تريلة 153869'!A1" xr:uid="{00000000-0004-0000-0000-00002F000000}"/>
    <hyperlink ref="C12" location="'تويوتا بكب 28332'!A1" display="28332  أ  بغداد" xr:uid="{00000000-0004-0000-0000-000030000000}"/>
    <hyperlink ref="C26" location="'كيا 87065'!A1" display="87065  ك  بغداد " xr:uid="{00000000-0004-0000-0000-000031000000}"/>
    <hyperlink ref="C27" location="'كيا  68783 '!A1" display="68783  أ  بغداد" xr:uid="{00000000-0004-0000-0000-000032000000}"/>
    <hyperlink ref="C25" location="'كيا 84103'!A1" display="84103 بغداد" xr:uid="{00000000-0004-0000-0000-000033000000}"/>
    <hyperlink ref="C30" location="'كيا 41711'!A1" display="41711  ط  بغداد" xr:uid="{00000000-0004-0000-0000-000034000000}"/>
    <hyperlink ref="C24" location="'كيا 87740'!A1" display="'كيا 87740'!A1" xr:uid="{00000000-0004-0000-0000-000035000000}"/>
    <hyperlink ref="C13" location="'تويوتا بكب 88646'!A1" display="88646  و  بغداد " xr:uid="{00000000-0004-0000-0000-000036000000}"/>
    <hyperlink ref="C5" location="' 11 A 71993 تويوتا بيك اب'!A1" display="11 A 71993" xr:uid="{00000000-0004-0000-0000-000037000000}"/>
    <hyperlink ref="C14" location="'تويوتا بكب 71711'!A1" display="71711  أ  بغداد" xr:uid="{00000000-0004-0000-0000-000038000000}"/>
    <hyperlink ref="C16" location="'تويوتا بكب 38020'!A1" display="11 H 38020" xr:uid="{00000000-0004-0000-0000-000039000000}"/>
    <hyperlink ref="C28" location="'كيا 80540'!A1" display="80540  و  بغداد" xr:uid="{00000000-0004-0000-0000-00003A000000}"/>
    <hyperlink ref="C15" location="'تويوتا بكب 9364'!A1" display="9364  أ  بصرة" xr:uid="{00000000-0004-0000-0000-00003B000000}"/>
    <hyperlink ref="C29" location="'كيا 4462'!A1" display="4462  أ  بغداد" xr:uid="{00000000-0004-0000-0000-00003C000000}"/>
    <hyperlink ref="C33" location="'كنتر بيك اب 94707'!A1" display="94707  هـ  بغداد" xr:uid="{00000000-0004-0000-0000-00003D000000}"/>
    <hyperlink ref="C4" location="'توسان 88707'!A1" display="88707  بغداد " xr:uid="{00000000-0004-0000-0000-00003E000000}"/>
    <hyperlink ref="C133" location="'حافلة 26579'!A1" display="26579 ديالى " xr:uid="{00000000-0004-0000-0000-00003F000000}"/>
    <hyperlink ref="C91" location="'قلاب 66478'!A1" display="'قلاب 66478'!A1" xr:uid="{00000000-0004-0000-0000-000040000000}"/>
    <hyperlink ref="C46" location="'حفار  6943 '!A1" display="6943 سليمانية " xr:uid="{00000000-0004-0000-0000-000041000000}"/>
    <hyperlink ref="C37" location="'خباطة 53389'!A1" display="53389  بغداد -ك" xr:uid="{00000000-0004-0000-0000-000042000000}"/>
    <hyperlink ref="C136" location="'ماكنة طرق51679 '!A1" display="51679بغداد" xr:uid="{00000000-0004-0000-0000-000043000000}"/>
    <hyperlink ref="C122" location="'دنبر 9239'!A1" display="9239بصرة" xr:uid="{00000000-0004-0000-0000-000044000000}"/>
    <hyperlink ref="C121" location="'دنبر 9470'!A1" display="9470 بصرة" xr:uid="{00000000-0004-0000-0000-000045000000}"/>
    <hyperlink ref="C55" location="حفارر24006!A1" display="حفارر24006!A1" xr:uid="{00000000-0004-0000-0000-000046000000}"/>
    <hyperlink ref="C90" location="'قلاب 95072'!A1" display="11 N 95072" xr:uid="{00000000-0004-0000-0000-000047000000}"/>
    <hyperlink ref="C105" location="'رافعة جنية بدون رقم '!A1" display="بدون رقم " xr:uid="{00000000-0004-0000-0000-000048000000}"/>
    <hyperlink ref="C106" location="'رافعة شوكية  JCB '!A1" display="بدون رقم " xr:uid="{00000000-0004-0000-0000-000049000000}"/>
    <hyperlink ref="C88" location="'قلاب 163283'!A1" display="163283 سليمانية" xr:uid="{00000000-0004-0000-0000-00004A000000}"/>
    <hyperlink ref="C89" location="'قلاب 163529'!A1" display="163529 سليمانية" xr:uid="{00000000-0004-0000-0000-00004B000000}"/>
    <hyperlink ref="C22" location="'تويوتا بكب 49923'!A1" display="49923  أ  بغداد" xr:uid="{00000000-0004-0000-0000-00004C000000}"/>
    <hyperlink ref="C31" location="'كيا 46696'!A1" display="46696  هـ  بغداد" xr:uid="{00000000-0004-0000-0000-00004D000000}"/>
    <hyperlink ref="C82" location="' كرين53035'!A1" display="53035  ف  بغداد" xr:uid="{00000000-0004-0000-0000-00004E000000}"/>
    <hyperlink ref="C113" location="'حادلة  بدون رقم'!A1" display="بدون تسجيل" xr:uid="{00000000-0004-0000-0000-00004F000000}"/>
    <hyperlink ref="C49" location="حفار9540!A1" display="9540 سليمانية" xr:uid="{00000000-0004-0000-0000-000050000000}"/>
    <hyperlink ref="C78" location="'بلدوزر 8641'!A1" display="8641  أ  بصرة" xr:uid="{00000000-0004-0000-0000-000051000000}"/>
    <hyperlink ref="C75" location="بلدوزر8640!A1" display="بصرة 8640" xr:uid="{00000000-0004-0000-0000-000052000000}"/>
    <hyperlink ref="C67" location="شفل22745!A1" display="22745 انبار" xr:uid="{00000000-0004-0000-0000-000053000000}"/>
    <hyperlink ref="C98" location="'تريلة 17040'!A1" display="22 J 17040" xr:uid="{00000000-0004-0000-0000-000054000000}"/>
    <hyperlink ref="C100" location="تريلة17586!A1" display="17586 أربيل " xr:uid="{00000000-0004-0000-0000-000055000000}"/>
    <hyperlink ref="C96" location="تريلة25791!A1" display="تريلة25791!A1" xr:uid="{00000000-0004-0000-0000-000056000000}"/>
    <hyperlink ref="C99" location="'تريلة 16495'!A1" display="16495- أربيل " xr:uid="{00000000-0004-0000-0000-000057000000}"/>
    <hyperlink ref="C48" location="'10967 حفارة '!A1" display="10967 - سليمانية " xr:uid="{00000000-0004-0000-0000-000058000000}"/>
    <hyperlink ref="C32" location="'كيا  99237 '!A1" display="11 M 99237" xr:uid="{00000000-0004-0000-0000-000059000000}"/>
    <hyperlink ref="C17" location="'H 68461 تويوتا بكب'!A1" display="11 H 68461" xr:uid="{00000000-0004-0000-0000-00005A000000}"/>
    <hyperlink ref="C18" location="'H 83043 تويوتا بكب '!A1" display="11 H 83043" xr:uid="{00000000-0004-0000-0000-00005B000000}"/>
    <hyperlink ref="C10" location="'راف فور'!A1" display="11 Q 51965" xr:uid="{00000000-0004-0000-0000-00005C000000}"/>
    <hyperlink ref="C9" location="'جيب شيروكي '!A1" display="11 L 41113" xr:uid="{00000000-0004-0000-0000-00005D000000}"/>
    <hyperlink ref="C6" location="'11 W 8011 تاهو'!A1" display="11 W 8011" xr:uid="{00000000-0004-0000-0000-00005E000000}"/>
    <hyperlink ref="C19" location="'2025 تويوتا بكب (2)'!A1" display="بدون رقم" xr:uid="{00000000-0004-0000-0000-00005F000000}"/>
    <hyperlink ref="C20" location="'2025 تويوتا بكب (3)'!A1" display="بدون رقم" xr:uid="{00000000-0004-0000-0000-000060000000}"/>
    <hyperlink ref="C21" location="'2025 تويوتا بكب (4)  '!A1" display="بدون رقم" xr:uid="{00000000-0004-0000-0000-000061000000}"/>
    <hyperlink ref="C35" location="'خباطة 50955'!A1" display="11 H  50955" xr:uid="{00000000-0004-0000-0000-000062000000}"/>
    <hyperlink ref="C40" location="'خباطة 10976'!A1" display="'خباطة 10976'!A1" xr:uid="{00000000-0004-0000-0000-000063000000}"/>
    <hyperlink ref="C51" location="'حفارة 9797'!A1" display="9797 سليمانية" xr:uid="{00000000-0004-0000-0000-000064000000}"/>
    <hyperlink ref="C61" location="'شفل  8624'!A1" display="8624 أ بصرة" xr:uid="{00000000-0004-0000-0000-000065000000}"/>
    <hyperlink ref="C117" location="'حادلة  بدون رقم'!A1" display="بدون تسجيل" xr:uid="{00000000-0004-0000-0000-000066000000}"/>
    <hyperlink ref="C132" location="'حافلة 41695'!A1" display="41675 أربيل" xr:uid="{00000000-0004-0000-0000-000067000000}"/>
    <hyperlink ref="C65" location="'شفل 50915 '!A1" display="'شفل 50915 '!A1" xr:uid="{00000000-0004-0000-0000-000068000000}"/>
    <hyperlink ref="C69" location="'96004 شفل '!A1" display="96004 ف بغداد " xr:uid="{00000000-0004-0000-0000-000069000000}"/>
    <hyperlink ref="C85" location="'22 L129192'!A1" display="22 L 29192" xr:uid="{00000000-0004-0000-0000-00006A000000}"/>
    <hyperlink ref="C111" location="'C23987'!A1" display="C23987" xr:uid="{00000000-0004-0000-0000-00006B000000}"/>
    <hyperlink ref="C41" location="' C 24000- خباطة'!A1" display=" C 24000" xr:uid="{00000000-0004-0000-0000-00006C000000}"/>
    <hyperlink ref="C42" location="'C 24135- خباطة '!A1" display="C 24135" xr:uid="{00000000-0004-0000-0000-00006D000000}"/>
    <hyperlink ref="C43" location="'C 24283 - خباطة '!A1" display="C 24283" xr:uid="{00000000-0004-0000-0000-00006E000000}"/>
    <hyperlink ref="C7" location="'برادو 2009'!A1" display=" 11733  د  بغداد" xr:uid="{00000000-0004-0000-0000-00006F000000}"/>
    <hyperlink ref="C8" location="'2022 البرادو '!A1" display="52164 ن بغداد" xr:uid="{00000000-0004-0000-0000-000070000000}"/>
    <hyperlink ref="C71" location="'C8365'!A1" display="C8365" xr:uid="{B7995210-9C10-44A4-A656-9CD81892DCCE}"/>
    <hyperlink ref="C72" location="'366'!A1" display="'366'!A1" xr:uid="{5E6F04FE-59E9-47CB-8621-83903B8832FE}"/>
    <hyperlink ref="C73" location="'C 22730'!A1" display="C 22730" xr:uid="{B0B9C2C3-B860-4C16-9B2D-DA2AC902CB89}"/>
  </hyperlinks>
  <pageMargins left="0.20866141699999999" right="0.20866141699999999" top="0.24803149599999999" bottom="0.24803149599999999" header="0.31496062992126" footer="0.31496062992126"/>
  <pageSetup paperSize="9" scale="47" fitToHeight="0" orientation="portrait" r:id="rId1"/>
  <headerFooter>
    <oddHeader>&amp;L&amp;D&amp;T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D2B0-525F-43DE-87E0-40CD344337DB}">
  <dimension ref="A1:K98"/>
  <sheetViews>
    <sheetView rightToLeft="1" topLeftCell="A79" workbookViewId="0">
      <selection activeCell="K2" sqref="K2"/>
    </sheetView>
  </sheetViews>
  <sheetFormatPr defaultRowHeight="14.4"/>
  <cols>
    <col min="5" max="5" width="15.77734375" customWidth="1"/>
    <col min="6" max="6" width="19.44140625" bestFit="1" customWidth="1"/>
    <col min="7" max="7" width="7.5546875" bestFit="1" customWidth="1"/>
  </cols>
  <sheetData>
    <row r="1" spans="1:11" ht="17.399999999999999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69.599999999999994">
      <c r="A2" s="35">
        <v>1</v>
      </c>
      <c r="B2" s="202" t="s">
        <v>26</v>
      </c>
      <c r="C2" s="203"/>
      <c r="D2" s="138"/>
      <c r="E2" s="86" t="s">
        <v>8</v>
      </c>
      <c r="F2" s="87">
        <v>2024</v>
      </c>
      <c r="G2" s="35"/>
      <c r="H2" s="89" t="s">
        <v>100</v>
      </c>
      <c r="I2" s="35" t="s">
        <v>106</v>
      </c>
      <c r="J2" s="17"/>
      <c r="K2" s="90" t="s">
        <v>102</v>
      </c>
    </row>
    <row r="3" spans="1:11" ht="17.399999999999999">
      <c r="A3" s="35"/>
      <c r="B3" s="89" t="s">
        <v>99</v>
      </c>
      <c r="C3" s="123" t="s">
        <v>1254</v>
      </c>
      <c r="D3" s="35"/>
      <c r="E3" s="86" t="s">
        <v>68</v>
      </c>
      <c r="F3" s="140" t="s">
        <v>71</v>
      </c>
      <c r="G3" s="35"/>
      <c r="H3" s="89" t="s">
        <v>824</v>
      </c>
      <c r="I3" s="35"/>
      <c r="J3" s="17"/>
      <c r="K3" s="17"/>
    </row>
    <row r="4" spans="1:11" ht="17.399999999999999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 ht="17.399999999999999">
      <c r="A5" s="35"/>
      <c r="B5" s="17" t="s">
        <v>855</v>
      </c>
      <c r="C5" s="178"/>
      <c r="D5" s="1"/>
      <c r="E5" s="86" t="s">
        <v>95</v>
      </c>
      <c r="F5" s="142"/>
      <c r="G5" s="81"/>
      <c r="H5" s="81" t="s">
        <v>96</v>
      </c>
      <c r="I5" s="117"/>
      <c r="J5" s="81"/>
      <c r="K5" s="17"/>
    </row>
    <row r="6" spans="1:11" ht="52.2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17.399999999999999">
      <c r="A7" s="98">
        <v>1</v>
      </c>
      <c r="B7" s="98"/>
      <c r="C7" s="98"/>
      <c r="D7" s="135"/>
      <c r="E7" s="99"/>
      <c r="F7" s="100"/>
      <c r="G7" s="127"/>
      <c r="H7" s="98"/>
      <c r="I7" s="98"/>
      <c r="J7" s="142"/>
      <c r="K7" s="17"/>
    </row>
    <row r="8" spans="1:11" ht="17.399999999999999">
      <c r="A8" s="98">
        <v>2</v>
      </c>
      <c r="B8" s="98"/>
      <c r="C8" s="98"/>
      <c r="D8" s="135"/>
      <c r="E8" s="99"/>
      <c r="F8" s="100"/>
      <c r="G8" s="127"/>
      <c r="H8" s="98"/>
      <c r="I8" s="98"/>
      <c r="J8" s="142"/>
      <c r="K8" s="17"/>
    </row>
    <row r="9" spans="1:11" ht="17.399999999999999">
      <c r="A9" s="98">
        <v>3</v>
      </c>
      <c r="B9" s="98"/>
      <c r="C9" s="17"/>
      <c r="D9" s="17"/>
      <c r="E9" s="18"/>
      <c r="F9" s="132"/>
      <c r="G9" s="116"/>
      <c r="H9" s="17"/>
      <c r="I9" s="98"/>
      <c r="J9" s="142"/>
      <c r="K9" s="17"/>
    </row>
    <row r="10" spans="1:11" ht="17.399999999999999">
      <c r="A10" s="98">
        <v>4</v>
      </c>
      <c r="B10" s="98"/>
      <c r="C10" s="98"/>
      <c r="D10" s="135"/>
      <c r="E10" s="99"/>
      <c r="F10" s="100"/>
      <c r="G10" s="127"/>
      <c r="H10" s="98"/>
      <c r="I10" s="98"/>
      <c r="J10" s="142"/>
      <c r="K10" s="17"/>
    </row>
    <row r="11" spans="1:11" ht="17.399999999999999">
      <c r="A11" s="98">
        <v>5</v>
      </c>
      <c r="B11" s="98"/>
      <c r="C11" s="98"/>
      <c r="D11" s="135"/>
      <c r="E11" s="99"/>
      <c r="F11" s="100"/>
      <c r="G11" s="127"/>
      <c r="H11" s="98"/>
      <c r="I11" s="98"/>
      <c r="J11" s="142"/>
      <c r="K11" s="17"/>
    </row>
    <row r="12" spans="1:11" ht="17.399999999999999">
      <c r="A12" s="98">
        <v>6</v>
      </c>
      <c r="B12" s="98"/>
      <c r="C12" s="98"/>
      <c r="D12" s="135"/>
      <c r="E12" s="99"/>
      <c r="F12" s="100"/>
      <c r="G12" s="127"/>
      <c r="H12" s="98"/>
      <c r="I12" s="98"/>
      <c r="J12" s="142"/>
      <c r="K12" s="17"/>
    </row>
    <row r="13" spans="1:11" ht="17.399999999999999">
      <c r="A13" s="98">
        <v>7</v>
      </c>
      <c r="B13" s="98"/>
      <c r="C13" s="98"/>
      <c r="D13" s="135"/>
      <c r="E13" s="99"/>
      <c r="F13" s="100"/>
      <c r="G13" s="127"/>
      <c r="H13" s="98"/>
      <c r="I13" s="98"/>
      <c r="J13" s="142"/>
      <c r="K13" s="17"/>
    </row>
    <row r="14" spans="1:11" ht="17.399999999999999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42"/>
      <c r="K14" s="17"/>
    </row>
    <row r="15" spans="1:11" ht="17.399999999999999">
      <c r="A15" s="98">
        <v>30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 ht="17.399999999999999">
      <c r="A16" s="98">
        <v>31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 ht="17.399999999999999">
      <c r="A17" s="98">
        <v>32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 ht="17.399999999999999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 ht="17.399999999999999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 ht="17.399999999999999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 ht="17.399999999999999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 ht="17.399999999999999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 ht="17.399999999999999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 ht="17.399999999999999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 ht="17.399999999999999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 ht="17.399999999999999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 ht="17.399999999999999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 ht="17.399999999999999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 ht="17.399999999999999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 ht="17.399999999999999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 ht="17.399999999999999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 ht="17.399999999999999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 ht="17.399999999999999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 ht="17.399999999999999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 ht="17.399999999999999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 ht="17.399999999999999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 ht="17.399999999999999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 ht="17.399999999999999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 ht="17.399999999999999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 ht="17.399999999999999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 ht="17.399999999999999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 ht="17.399999999999999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 ht="17.399999999999999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 ht="17.399999999999999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 ht="17.399999999999999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 ht="17.399999999999999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 ht="17.399999999999999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 ht="17.399999999999999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 ht="17.399999999999999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 ht="17.399999999999999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 ht="17.399999999999999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 ht="17.399999999999999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 ht="17.399999999999999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 ht="17.399999999999999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 ht="17.399999999999999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 ht="17.399999999999999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 ht="17.399999999999999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 ht="17.399999999999999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 ht="17.399999999999999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 ht="17.399999999999999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 ht="17.399999999999999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 ht="17.399999999999999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 ht="17.399999999999999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 ht="17.399999999999999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 ht="17.399999999999999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 ht="17.399999999999999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 ht="17.399999999999999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 ht="17.399999999999999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 ht="17.399999999999999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 ht="17.399999999999999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 ht="17.399999999999999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 ht="17.399999999999999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 ht="17.399999999999999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 ht="17.399999999999999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 ht="17.399999999999999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 ht="17.399999999999999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 ht="17.399999999999999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 ht="17.399999999999999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 ht="17.399999999999999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 ht="17.399999999999999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 ht="17.399999999999999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 ht="17.399999999999999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 ht="17.399999999999999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 ht="17.399999999999999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 ht="17.399999999999999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 ht="17.399999999999999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 ht="17.399999999999999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 ht="17.399999999999999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 ht="17.399999999999999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 ht="17.399999999999999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 ht="17.399999999999999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 ht="17.399999999999999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 ht="17.399999999999999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 ht="17.399999999999999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 ht="17.399999999999999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 ht="17.399999999999999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 ht="17.399999999999999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 ht="17.399999999999999">
      <c r="A98" s="108"/>
      <c r="B98" s="204" t="s">
        <v>98</v>
      </c>
      <c r="C98" s="204"/>
      <c r="D98" s="108"/>
      <c r="E98" s="118"/>
      <c r="F98" s="119">
        <f>SUM(F7:F97)</f>
        <v>0</v>
      </c>
      <c r="G98" s="120">
        <f>SUM(G7:G97)</f>
        <v>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D3D5681E-347D-4201-A83F-FCE5F9DAC6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6310-E60A-430A-8699-4862615B3CB1}">
  <dimension ref="A1:K98"/>
  <sheetViews>
    <sheetView rightToLeft="1" workbookViewId="0">
      <selection sqref="A1:K98"/>
    </sheetView>
  </sheetViews>
  <sheetFormatPr defaultRowHeight="17.399999999999999"/>
  <cols>
    <col min="1" max="1" width="4.6640625" style="149" bestFit="1" customWidth="1"/>
    <col min="2" max="2" width="7.77734375" style="149" bestFit="1" customWidth="1"/>
    <col min="3" max="3" width="8.109375" style="149" bestFit="1" customWidth="1"/>
    <col min="4" max="4" width="11.5546875" style="149" bestFit="1" customWidth="1"/>
    <col min="5" max="5" width="21.6640625" style="149" bestFit="1" customWidth="1"/>
    <col min="6" max="6" width="19.44140625" style="149" bestFit="1" customWidth="1"/>
    <col min="7" max="7" width="6.21875" style="149" bestFit="1" customWidth="1"/>
    <col min="8" max="8" width="13.44140625" style="149" bestFit="1" customWidth="1"/>
    <col min="9" max="9" width="14.6640625" style="149" bestFit="1" customWidth="1"/>
    <col min="10" max="10" width="4.77734375" style="149" bestFit="1" customWidth="1"/>
    <col min="11" max="11" width="16.5546875" style="149" bestFit="1" customWidth="1"/>
    <col min="12" max="16384" width="8.88671875" style="149"/>
  </cols>
  <sheetData>
    <row r="1" spans="1:11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34.799999999999997">
      <c r="A2" s="35">
        <v>1</v>
      </c>
      <c r="B2" s="202" t="s">
        <v>26</v>
      </c>
      <c r="C2" s="203"/>
      <c r="D2" s="138"/>
      <c r="E2" s="86" t="s">
        <v>8</v>
      </c>
      <c r="F2" s="87">
        <v>1974</v>
      </c>
      <c r="G2" s="35"/>
      <c r="H2" s="89" t="s">
        <v>100</v>
      </c>
      <c r="I2" s="35" t="s">
        <v>106</v>
      </c>
      <c r="J2" s="17"/>
      <c r="K2" s="90" t="s">
        <v>102</v>
      </c>
    </row>
    <row r="3" spans="1:11">
      <c r="A3" s="35"/>
      <c r="B3" s="89" t="s">
        <v>99</v>
      </c>
      <c r="C3" s="123">
        <v>366</v>
      </c>
      <c r="D3" s="35"/>
      <c r="E3" s="86" t="s">
        <v>68</v>
      </c>
      <c r="F3" s="140" t="s">
        <v>1251</v>
      </c>
      <c r="G3" s="35"/>
      <c r="H3" s="89" t="s">
        <v>824</v>
      </c>
      <c r="I3" s="35"/>
      <c r="J3" s="17"/>
      <c r="K3" s="17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178"/>
      <c r="D5" s="1"/>
      <c r="E5" s="86" t="s">
        <v>95</v>
      </c>
      <c r="F5" s="142"/>
      <c r="G5" s="81"/>
      <c r="H5" s="81" t="s">
        <v>96</v>
      </c>
      <c r="I5" s="117"/>
      <c r="J5" s="81"/>
      <c r="K5" s="17"/>
    </row>
    <row r="6" spans="1:11" ht="69.599999999999994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139.19999999999999">
      <c r="A7" s="98">
        <v>1</v>
      </c>
      <c r="B7" s="98"/>
      <c r="C7" s="98">
        <v>1158</v>
      </c>
      <c r="D7" s="135" t="s">
        <v>1241</v>
      </c>
      <c r="E7" s="99" t="s">
        <v>1252</v>
      </c>
      <c r="F7" s="100">
        <v>1705000</v>
      </c>
      <c r="G7" s="127"/>
      <c r="H7" s="98" t="s">
        <v>75</v>
      </c>
      <c r="I7" s="98"/>
      <c r="J7" s="142"/>
      <c r="K7" s="17"/>
    </row>
    <row r="8" spans="1:11">
      <c r="A8" s="98">
        <v>2</v>
      </c>
      <c r="B8" s="98"/>
      <c r="C8" s="98"/>
      <c r="D8" s="135"/>
      <c r="E8" s="99"/>
      <c r="F8" s="100"/>
      <c r="G8" s="127"/>
      <c r="H8" s="98"/>
      <c r="I8" s="98"/>
      <c r="J8" s="142"/>
      <c r="K8" s="17"/>
    </row>
    <row r="9" spans="1:11">
      <c r="A9" s="98">
        <v>3</v>
      </c>
      <c r="B9" s="98"/>
      <c r="C9" s="17"/>
      <c r="D9" s="17"/>
      <c r="E9" s="18"/>
      <c r="F9" s="132"/>
      <c r="G9" s="116"/>
      <c r="H9" s="17"/>
      <c r="I9" s="98"/>
      <c r="J9" s="142"/>
      <c r="K9" s="17"/>
    </row>
    <row r="10" spans="1:11">
      <c r="A10" s="98">
        <v>4</v>
      </c>
      <c r="B10" s="98"/>
      <c r="C10" s="98"/>
      <c r="D10" s="135"/>
      <c r="E10" s="99"/>
      <c r="F10" s="100"/>
      <c r="G10" s="127"/>
      <c r="H10" s="98"/>
      <c r="I10" s="98"/>
      <c r="J10" s="142"/>
      <c r="K10" s="17"/>
    </row>
    <row r="11" spans="1:11">
      <c r="A11" s="98">
        <v>5</v>
      </c>
      <c r="B11" s="98"/>
      <c r="C11" s="98"/>
      <c r="D11" s="135"/>
      <c r="E11" s="99"/>
      <c r="F11" s="100"/>
      <c r="G11" s="127"/>
      <c r="H11" s="98"/>
      <c r="I11" s="98"/>
      <c r="J11" s="142"/>
      <c r="K11" s="17"/>
    </row>
    <row r="12" spans="1:11">
      <c r="A12" s="98">
        <v>6</v>
      </c>
      <c r="B12" s="98"/>
      <c r="C12" s="98"/>
      <c r="D12" s="135"/>
      <c r="E12" s="99"/>
      <c r="F12" s="100"/>
      <c r="G12" s="127"/>
      <c r="H12" s="98"/>
      <c r="I12" s="98"/>
      <c r="J12" s="142"/>
      <c r="K12" s="17"/>
    </row>
    <row r="13" spans="1:11">
      <c r="A13" s="98">
        <v>7</v>
      </c>
      <c r="B13" s="98"/>
      <c r="C13" s="98"/>
      <c r="D13" s="135"/>
      <c r="E13" s="99"/>
      <c r="F13" s="100"/>
      <c r="G13" s="127"/>
      <c r="H13" s="98"/>
      <c r="I13" s="98"/>
      <c r="J13" s="142"/>
      <c r="K13" s="17"/>
    </row>
    <row r="14" spans="1:11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42"/>
      <c r="K14" s="17"/>
    </row>
    <row r="15" spans="1:11">
      <c r="A15" s="98">
        <v>30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>
      <c r="A16" s="98">
        <v>31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>
      <c r="A17" s="98">
        <v>32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>
      <c r="A98" s="108"/>
      <c r="B98" s="204" t="s">
        <v>98</v>
      </c>
      <c r="C98" s="204"/>
      <c r="D98" s="108"/>
      <c r="E98" s="118"/>
      <c r="F98" s="119">
        <f>SUM(F7:F97)</f>
        <v>1705000</v>
      </c>
      <c r="G98" s="120">
        <f>SUM(G7:G97)</f>
        <v>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1A25FCEB-06C7-42F3-8202-97C2058A650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C590-A7D6-47EF-90CC-12ECDA1BD609}">
  <dimension ref="A1:K98"/>
  <sheetViews>
    <sheetView rightToLeft="1" topLeftCell="A2" workbookViewId="0">
      <selection activeCell="B8" sqref="B8"/>
    </sheetView>
  </sheetViews>
  <sheetFormatPr defaultRowHeight="17.399999999999999"/>
  <cols>
    <col min="1" max="1" width="4.6640625" style="149" bestFit="1" customWidth="1"/>
    <col min="2" max="2" width="7.77734375" style="149" bestFit="1" customWidth="1"/>
    <col min="3" max="3" width="8.109375" style="149" bestFit="1" customWidth="1"/>
    <col min="4" max="4" width="4.5546875" style="149" bestFit="1" customWidth="1"/>
    <col min="5" max="5" width="11.109375" style="149" bestFit="1" customWidth="1"/>
    <col min="6" max="6" width="8.33203125" style="149" bestFit="1" customWidth="1"/>
    <col min="7" max="7" width="6.21875" style="149" bestFit="1" customWidth="1"/>
    <col min="8" max="8" width="13.44140625" style="149" bestFit="1" customWidth="1"/>
    <col min="9" max="9" width="16.109375" style="149" bestFit="1" customWidth="1"/>
    <col min="10" max="10" width="4.77734375" style="149" bestFit="1" customWidth="1"/>
    <col min="11" max="11" width="16.5546875" style="149" bestFit="1" customWidth="1"/>
    <col min="12" max="16384" width="8.88671875" style="149"/>
  </cols>
  <sheetData>
    <row r="1" spans="1:11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34.799999999999997">
      <c r="A2" s="35">
        <v>1</v>
      </c>
      <c r="B2" s="202" t="s">
        <v>26</v>
      </c>
      <c r="C2" s="203"/>
      <c r="D2" s="138"/>
      <c r="E2" s="86" t="s">
        <v>8</v>
      </c>
      <c r="F2" s="87">
        <v>2018</v>
      </c>
      <c r="G2" s="35"/>
      <c r="H2" s="89" t="s">
        <v>100</v>
      </c>
      <c r="I2" s="35" t="s">
        <v>106</v>
      </c>
      <c r="J2" s="17"/>
      <c r="K2" s="90" t="s">
        <v>102</v>
      </c>
    </row>
    <row r="3" spans="1:11">
      <c r="A3" s="35"/>
      <c r="B3" s="89" t="s">
        <v>99</v>
      </c>
      <c r="C3" s="123" t="s">
        <v>1249</v>
      </c>
      <c r="D3" s="35"/>
      <c r="E3" s="86" t="s">
        <v>68</v>
      </c>
      <c r="F3" s="140" t="s">
        <v>826</v>
      </c>
      <c r="G3" s="35"/>
      <c r="H3" s="89" t="s">
        <v>824</v>
      </c>
      <c r="I3" s="35"/>
      <c r="J3" s="17"/>
      <c r="K3" s="17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 ht="34.799999999999997">
      <c r="A5" s="35"/>
      <c r="B5" s="17" t="s">
        <v>855</v>
      </c>
      <c r="C5" s="178"/>
      <c r="D5" s="1"/>
      <c r="E5" s="86" t="s">
        <v>95</v>
      </c>
      <c r="F5" s="142"/>
      <c r="G5" s="81"/>
      <c r="H5" s="81" t="s">
        <v>96</v>
      </c>
      <c r="I5" s="117"/>
      <c r="J5" s="81"/>
      <c r="K5" s="17"/>
    </row>
    <row r="6" spans="1:11" ht="69.599999999999994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1</v>
      </c>
      <c r="B7" s="98"/>
      <c r="C7" s="98"/>
      <c r="D7" s="135"/>
      <c r="E7" s="99"/>
      <c r="F7" s="100"/>
      <c r="G7" s="127"/>
      <c r="H7" s="98"/>
      <c r="I7" s="98"/>
      <c r="J7" s="142"/>
      <c r="K7" s="17"/>
    </row>
    <row r="8" spans="1:11">
      <c r="A8" s="98">
        <v>2</v>
      </c>
      <c r="B8" s="98"/>
      <c r="C8" s="98"/>
      <c r="D8" s="135"/>
      <c r="E8" s="99"/>
      <c r="F8" s="100"/>
      <c r="G8" s="127"/>
      <c r="H8" s="98"/>
      <c r="I8" s="98"/>
      <c r="J8" s="142"/>
      <c r="K8" s="17"/>
    </row>
    <row r="9" spans="1:11">
      <c r="A9" s="98">
        <v>3</v>
      </c>
      <c r="B9" s="98"/>
      <c r="C9" s="17"/>
      <c r="D9" s="17"/>
      <c r="E9" s="18"/>
      <c r="F9" s="132"/>
      <c r="G9" s="116"/>
      <c r="H9" s="17"/>
      <c r="I9" s="98"/>
      <c r="J9" s="142"/>
      <c r="K9" s="17"/>
    </row>
    <row r="10" spans="1:11">
      <c r="A10" s="98">
        <v>4</v>
      </c>
      <c r="B10" s="98"/>
      <c r="C10" s="98"/>
      <c r="D10" s="135"/>
      <c r="E10" s="99"/>
      <c r="F10" s="100"/>
      <c r="G10" s="127"/>
      <c r="H10" s="98"/>
      <c r="I10" s="98"/>
      <c r="J10" s="142"/>
      <c r="K10" s="17"/>
    </row>
    <row r="11" spans="1:11">
      <c r="A11" s="98">
        <v>5</v>
      </c>
      <c r="B11" s="98"/>
      <c r="C11" s="98"/>
      <c r="D11" s="135"/>
      <c r="E11" s="99"/>
      <c r="F11" s="100"/>
      <c r="G11" s="127"/>
      <c r="H11" s="98"/>
      <c r="I11" s="98"/>
      <c r="J11" s="142"/>
      <c r="K11" s="17"/>
    </row>
    <row r="12" spans="1:11">
      <c r="A12" s="98">
        <v>6</v>
      </c>
      <c r="B12" s="98"/>
      <c r="C12" s="98"/>
      <c r="D12" s="135"/>
      <c r="E12" s="99"/>
      <c r="F12" s="100"/>
      <c r="G12" s="127"/>
      <c r="H12" s="98"/>
      <c r="I12" s="98"/>
      <c r="J12" s="142"/>
      <c r="K12" s="17"/>
    </row>
    <row r="13" spans="1:11">
      <c r="A13" s="98">
        <v>7</v>
      </c>
      <c r="B13" s="98"/>
      <c r="C13" s="98"/>
      <c r="D13" s="135"/>
      <c r="E13" s="99"/>
      <c r="F13" s="100"/>
      <c r="G13" s="127"/>
      <c r="H13" s="98"/>
      <c r="I13" s="98"/>
      <c r="J13" s="142"/>
      <c r="K13" s="17"/>
    </row>
    <row r="14" spans="1:11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42"/>
      <c r="K14" s="17"/>
    </row>
    <row r="15" spans="1:11">
      <c r="A15" s="98">
        <v>30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>
      <c r="A16" s="98">
        <v>31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>
      <c r="A17" s="98">
        <v>32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>
      <c r="A98" s="108"/>
      <c r="B98" s="204" t="s">
        <v>98</v>
      </c>
      <c r="C98" s="204"/>
      <c r="D98" s="108"/>
      <c r="E98" s="118"/>
      <c r="F98" s="119">
        <f>SUM(F7:F97)</f>
        <v>0</v>
      </c>
      <c r="G98" s="120">
        <f>SUM(G7:G97)</f>
        <v>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8F31D013-D23E-44AF-A500-CF6ED8237A2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"/>
  <sheetViews>
    <sheetView rightToLeft="1" zoomScale="140" zoomScaleNormal="140" workbookViewId="0">
      <selection activeCell="K2" sqref="K2"/>
    </sheetView>
  </sheetViews>
  <sheetFormatPr defaultRowHeight="17.399999999999999"/>
  <cols>
    <col min="1" max="1" width="4.6640625" style="149" bestFit="1" customWidth="1"/>
    <col min="2" max="2" width="7.77734375" style="149" bestFit="1" customWidth="1"/>
    <col min="3" max="3" width="8.44140625" style="149" bestFit="1" customWidth="1"/>
    <col min="4" max="4" width="11.5546875" style="149" bestFit="1" customWidth="1"/>
    <col min="5" max="5" width="25.77734375" style="149" bestFit="1" customWidth="1"/>
    <col min="6" max="6" width="13.33203125" style="149" bestFit="1" customWidth="1"/>
    <col min="7" max="7" width="6.21875" style="149" bestFit="1" customWidth="1"/>
    <col min="8" max="8" width="13.44140625" style="149" bestFit="1" customWidth="1"/>
    <col min="9" max="9" width="14.6640625" style="149" bestFit="1" customWidth="1"/>
    <col min="10" max="10" width="4.77734375" style="149" bestFit="1" customWidth="1"/>
    <col min="11" max="11" width="16.5546875" style="149" bestFit="1" customWidth="1"/>
    <col min="12" max="16384" width="8.88671875" style="149"/>
  </cols>
  <sheetData>
    <row r="1" spans="1:11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34.799999999999997">
      <c r="A2" s="35">
        <v>1</v>
      </c>
      <c r="B2" s="202" t="s">
        <v>1169</v>
      </c>
      <c r="C2" s="203"/>
      <c r="D2" s="138"/>
      <c r="E2" s="86" t="s">
        <v>8</v>
      </c>
      <c r="F2" s="87">
        <v>2018</v>
      </c>
      <c r="G2" s="35"/>
      <c r="H2" s="89" t="s">
        <v>100</v>
      </c>
      <c r="I2" s="35" t="s">
        <v>106</v>
      </c>
      <c r="J2" s="17"/>
      <c r="K2" s="90" t="s">
        <v>102</v>
      </c>
    </row>
    <row r="3" spans="1:11">
      <c r="A3" s="35"/>
      <c r="B3" s="89" t="s">
        <v>99</v>
      </c>
      <c r="C3" s="123" t="s">
        <v>1170</v>
      </c>
      <c r="D3" s="35"/>
      <c r="E3" s="86" t="s">
        <v>68</v>
      </c>
      <c r="F3" s="140" t="s">
        <v>1171</v>
      </c>
      <c r="G3" s="35"/>
      <c r="H3" s="89" t="s">
        <v>824</v>
      </c>
      <c r="I3" s="35"/>
      <c r="J3" s="17"/>
      <c r="K3" s="17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178"/>
      <c r="D5" s="1"/>
      <c r="E5" s="86" t="s">
        <v>95</v>
      </c>
      <c r="F5" s="142"/>
      <c r="G5" s="81"/>
      <c r="H5" s="81" t="s">
        <v>96</v>
      </c>
      <c r="I5" s="117"/>
      <c r="J5" s="81"/>
      <c r="K5" s="17"/>
    </row>
    <row r="6" spans="1:11" ht="69.599999999999994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4.799999999999997">
      <c r="A7" s="98">
        <v>1</v>
      </c>
      <c r="B7" s="98"/>
      <c r="C7" s="98">
        <v>960</v>
      </c>
      <c r="D7" s="135">
        <v>46358</v>
      </c>
      <c r="E7" s="99" t="s">
        <v>1212</v>
      </c>
      <c r="F7" s="100">
        <v>317000</v>
      </c>
      <c r="G7" s="127"/>
      <c r="H7" s="98" t="s">
        <v>75</v>
      </c>
      <c r="I7" s="98"/>
      <c r="J7" s="142"/>
      <c r="K7" s="17"/>
    </row>
    <row r="8" spans="1:11">
      <c r="A8" s="98">
        <v>2</v>
      </c>
      <c r="B8" s="98"/>
      <c r="C8" s="98">
        <v>1093</v>
      </c>
      <c r="D8" s="135">
        <v>46086</v>
      </c>
      <c r="E8" s="99" t="s">
        <v>1229</v>
      </c>
      <c r="F8" s="100">
        <v>355000</v>
      </c>
      <c r="G8" s="127"/>
      <c r="H8" s="98" t="s">
        <v>75</v>
      </c>
      <c r="I8" s="98"/>
      <c r="J8" s="142"/>
      <c r="K8" s="17"/>
    </row>
    <row r="9" spans="1:11">
      <c r="A9" s="98">
        <v>3</v>
      </c>
      <c r="B9" s="98"/>
      <c r="C9" s="17">
        <v>1158</v>
      </c>
      <c r="D9" s="17" t="s">
        <v>1241</v>
      </c>
      <c r="E9" s="18" t="s">
        <v>1247</v>
      </c>
      <c r="F9" s="132">
        <v>250000</v>
      </c>
      <c r="G9" s="116"/>
      <c r="H9" s="17" t="s">
        <v>75</v>
      </c>
      <c r="I9" s="98"/>
      <c r="J9" s="142"/>
      <c r="K9" s="17"/>
    </row>
    <row r="10" spans="1:11">
      <c r="A10" s="98">
        <v>4</v>
      </c>
      <c r="B10" s="98"/>
      <c r="C10" s="98">
        <v>1281</v>
      </c>
      <c r="D10" s="135" t="s">
        <v>1256</v>
      </c>
      <c r="E10" s="99" t="s">
        <v>1258</v>
      </c>
      <c r="F10" s="100">
        <v>505000</v>
      </c>
      <c r="G10" s="127"/>
      <c r="H10" s="98" t="s">
        <v>75</v>
      </c>
      <c r="I10" s="98"/>
      <c r="J10" s="142"/>
      <c r="K10" s="17"/>
    </row>
    <row r="11" spans="1:11">
      <c r="A11" s="98">
        <v>5</v>
      </c>
      <c r="B11" s="98"/>
      <c r="C11" s="98">
        <v>1394</v>
      </c>
      <c r="D11" s="135">
        <v>46300</v>
      </c>
      <c r="E11" s="99" t="s">
        <v>1274</v>
      </c>
      <c r="F11" s="100">
        <v>70000</v>
      </c>
      <c r="G11" s="127"/>
      <c r="H11" s="98" t="s">
        <v>75</v>
      </c>
      <c r="I11" s="98"/>
      <c r="J11" s="142"/>
      <c r="K11" s="17"/>
    </row>
    <row r="12" spans="1:11">
      <c r="A12" s="98">
        <v>6</v>
      </c>
      <c r="B12" s="98"/>
      <c r="C12" s="17">
        <v>1428</v>
      </c>
      <c r="D12" s="17" t="s">
        <v>1286</v>
      </c>
      <c r="E12" s="18" t="s">
        <v>1290</v>
      </c>
      <c r="F12" s="132">
        <v>465000</v>
      </c>
      <c r="G12" s="25"/>
      <c r="H12" s="17" t="s">
        <v>75</v>
      </c>
      <c r="I12" s="98"/>
      <c r="J12" s="142"/>
      <c r="K12" s="17"/>
    </row>
    <row r="13" spans="1:11">
      <c r="A13" s="98">
        <v>7</v>
      </c>
      <c r="B13" s="98"/>
      <c r="C13" s="98"/>
      <c r="D13" s="135"/>
      <c r="E13" s="99"/>
      <c r="F13" s="100"/>
      <c r="G13" s="127"/>
      <c r="H13" s="98"/>
      <c r="I13" s="98"/>
      <c r="J13" s="142"/>
      <c r="K13" s="17"/>
    </row>
    <row r="14" spans="1:11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42"/>
      <c r="K14" s="17"/>
    </row>
    <row r="15" spans="1:11">
      <c r="A15" s="98">
        <v>30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>
      <c r="A16" s="98">
        <v>31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>
      <c r="A17" s="98">
        <v>32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>
      <c r="A98" s="108"/>
      <c r="B98" s="204" t="s">
        <v>98</v>
      </c>
      <c r="C98" s="204"/>
      <c r="D98" s="108"/>
      <c r="E98" s="118"/>
      <c r="F98" s="119">
        <f>SUM(F9:F97)</f>
        <v>1290000</v>
      </c>
      <c r="G98" s="120">
        <f>SUM(G7:G97)</f>
        <v>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00000000-0004-0000-01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"/>
  <sheetViews>
    <sheetView rightToLeft="1" topLeftCell="A74" workbookViewId="0">
      <selection activeCell="B8" sqref="B8"/>
    </sheetView>
  </sheetViews>
  <sheetFormatPr defaultRowHeight="17.399999999999999"/>
  <cols>
    <col min="1" max="1" width="4.6640625" style="149" bestFit="1" customWidth="1"/>
    <col min="2" max="2" width="7.77734375" style="149" bestFit="1" customWidth="1"/>
    <col min="3" max="3" width="9.5546875" style="149" bestFit="1" customWidth="1"/>
    <col min="4" max="4" width="11.5546875" style="149" bestFit="1" customWidth="1"/>
    <col min="5" max="5" width="74.5546875" style="149" bestFit="1" customWidth="1"/>
    <col min="6" max="6" width="15.109375" style="149" bestFit="1" customWidth="1"/>
    <col min="7" max="7" width="6.21875" style="149" bestFit="1" customWidth="1"/>
    <col min="8" max="8" width="13.44140625" style="149" bestFit="1" customWidth="1"/>
    <col min="9" max="9" width="8.44140625" style="149" bestFit="1" customWidth="1"/>
    <col min="10" max="10" width="4.77734375" style="149" bestFit="1" customWidth="1"/>
    <col min="11" max="11" width="9" style="149" bestFit="1" customWidth="1"/>
    <col min="12" max="16384" width="8.88671875" style="149"/>
  </cols>
  <sheetData>
    <row r="1" spans="1:11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52.2">
      <c r="A2" s="35">
        <v>1</v>
      </c>
      <c r="B2" s="202" t="s">
        <v>529</v>
      </c>
      <c r="C2" s="203"/>
      <c r="D2" s="138"/>
      <c r="E2" s="86" t="s">
        <v>8</v>
      </c>
      <c r="F2" s="87">
        <v>2018</v>
      </c>
      <c r="G2" s="35"/>
      <c r="H2" s="89" t="s">
        <v>100</v>
      </c>
      <c r="I2" s="35" t="s">
        <v>106</v>
      </c>
      <c r="J2" s="17"/>
      <c r="K2" s="90" t="s">
        <v>102</v>
      </c>
    </row>
    <row r="3" spans="1:11">
      <c r="A3" s="35"/>
      <c r="B3" s="89" t="s">
        <v>99</v>
      </c>
      <c r="C3" s="123" t="s">
        <v>1173</v>
      </c>
      <c r="D3" s="35"/>
      <c r="E3" s="86" t="s">
        <v>68</v>
      </c>
      <c r="F3" s="140" t="s">
        <v>154</v>
      </c>
      <c r="G3" s="35"/>
      <c r="H3" s="89" t="s">
        <v>824</v>
      </c>
      <c r="I3" s="35"/>
      <c r="J3" s="17"/>
      <c r="K3" s="17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178"/>
      <c r="D5" s="1"/>
      <c r="E5" s="86" t="s">
        <v>95</v>
      </c>
      <c r="F5" s="142"/>
      <c r="G5" s="81"/>
      <c r="H5" s="81" t="s">
        <v>96</v>
      </c>
      <c r="I5" s="117"/>
      <c r="J5" s="81"/>
      <c r="K5" s="17"/>
    </row>
    <row r="6" spans="1:11" ht="69.599999999999994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4.200000000000003" customHeight="1">
      <c r="A7" s="98">
        <v>1</v>
      </c>
      <c r="B7" s="98"/>
      <c r="C7" s="98">
        <v>960</v>
      </c>
      <c r="D7" s="135">
        <v>46358</v>
      </c>
      <c r="E7" s="99" t="s">
        <v>1213</v>
      </c>
      <c r="F7" s="100">
        <v>1730000</v>
      </c>
      <c r="G7" s="127">
        <v>250</v>
      </c>
      <c r="H7" s="98" t="s">
        <v>75</v>
      </c>
      <c r="I7" s="98"/>
      <c r="J7" s="142"/>
      <c r="K7" s="17"/>
    </row>
    <row r="8" spans="1:11">
      <c r="A8" s="98">
        <v>2</v>
      </c>
      <c r="B8" s="98"/>
      <c r="C8" s="98"/>
      <c r="D8" s="98"/>
      <c r="E8" s="99"/>
      <c r="F8" s="100"/>
      <c r="G8" s="127"/>
      <c r="H8" s="98"/>
      <c r="I8" s="98"/>
      <c r="J8" s="142"/>
      <c r="K8" s="17"/>
    </row>
    <row r="9" spans="1:11">
      <c r="A9" s="98">
        <v>3</v>
      </c>
      <c r="B9" s="98"/>
      <c r="C9" s="98"/>
      <c r="D9" s="135"/>
      <c r="E9" s="99"/>
      <c r="F9" s="100"/>
      <c r="G9" s="127"/>
      <c r="H9" s="98"/>
      <c r="I9" s="98"/>
      <c r="J9" s="142"/>
      <c r="K9" s="17"/>
    </row>
    <row r="10" spans="1:11">
      <c r="A10" s="98">
        <v>4</v>
      </c>
      <c r="B10" s="98"/>
      <c r="C10" s="98"/>
      <c r="D10" s="135"/>
      <c r="E10" s="99"/>
      <c r="F10" s="100"/>
      <c r="G10" s="127"/>
      <c r="H10" s="98"/>
      <c r="I10" s="98"/>
      <c r="J10" s="142"/>
      <c r="K10" s="17"/>
    </row>
    <row r="11" spans="1:11">
      <c r="A11" s="98">
        <v>5</v>
      </c>
      <c r="B11" s="98"/>
      <c r="C11" s="98"/>
      <c r="D11" s="135"/>
      <c r="E11" s="99"/>
      <c r="F11" s="100"/>
      <c r="G11" s="127"/>
      <c r="H11" s="98"/>
      <c r="I11" s="98"/>
      <c r="J11" s="142"/>
      <c r="K11" s="17"/>
    </row>
    <row r="12" spans="1:11">
      <c r="A12" s="98">
        <v>6</v>
      </c>
      <c r="B12" s="98"/>
      <c r="C12" s="98"/>
      <c r="D12" s="135"/>
      <c r="E12" s="99"/>
      <c r="F12" s="100"/>
      <c r="G12" s="127"/>
      <c r="H12" s="98"/>
      <c r="I12" s="98"/>
      <c r="J12" s="142"/>
      <c r="K12" s="17"/>
    </row>
    <row r="13" spans="1:11">
      <c r="A13" s="98">
        <v>7</v>
      </c>
      <c r="B13" s="98"/>
      <c r="C13" s="98"/>
      <c r="D13" s="135"/>
      <c r="E13" s="99"/>
      <c r="F13" s="100"/>
      <c r="G13" s="127"/>
      <c r="H13" s="98"/>
      <c r="I13" s="98"/>
      <c r="J13" s="142"/>
      <c r="K13" s="17"/>
    </row>
    <row r="14" spans="1:11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42"/>
      <c r="K14" s="17"/>
    </row>
    <row r="15" spans="1:11">
      <c r="A15" s="98">
        <v>30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>
      <c r="A16" s="98">
        <v>31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>
      <c r="A17" s="98">
        <v>32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>
      <c r="A98" s="108"/>
      <c r="B98" s="204" t="s">
        <v>98</v>
      </c>
      <c r="C98" s="204"/>
      <c r="D98" s="108"/>
      <c r="E98" s="118"/>
      <c r="F98" s="119">
        <f>SUM(F7:F97)</f>
        <v>1730000</v>
      </c>
      <c r="G98" s="120">
        <f>SUM(G7:G97)</f>
        <v>250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00000000-0004-0000-02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8"/>
  <sheetViews>
    <sheetView rightToLeft="1" topLeftCell="A74" workbookViewId="0">
      <selection activeCell="B8" sqref="B8"/>
    </sheetView>
  </sheetViews>
  <sheetFormatPr defaultRowHeight="17.399999999999999"/>
  <cols>
    <col min="1" max="1" width="4.6640625" style="149" bestFit="1" customWidth="1"/>
    <col min="2" max="2" width="7.77734375" style="149" bestFit="1" customWidth="1"/>
    <col min="3" max="3" width="9" style="149" bestFit="1" customWidth="1"/>
    <col min="4" max="4" width="11.5546875" style="149" bestFit="1" customWidth="1"/>
    <col min="5" max="5" width="38.5546875" style="149" bestFit="1" customWidth="1"/>
    <col min="6" max="6" width="15.109375" style="149" bestFit="1" customWidth="1"/>
    <col min="7" max="7" width="10.5546875" style="149" bestFit="1" customWidth="1"/>
    <col min="8" max="8" width="13.44140625" style="149" bestFit="1" customWidth="1"/>
    <col min="9" max="9" width="8.44140625" style="149" bestFit="1" customWidth="1"/>
    <col min="10" max="10" width="4.77734375" style="149" bestFit="1" customWidth="1"/>
    <col min="11" max="11" width="16.5546875" style="149" bestFit="1" customWidth="1"/>
    <col min="12" max="16384" width="8.88671875" style="149"/>
  </cols>
  <sheetData>
    <row r="1" spans="1:11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34.799999999999997">
      <c r="A2" s="35">
        <v>1</v>
      </c>
      <c r="B2" s="202" t="s">
        <v>1210</v>
      </c>
      <c r="C2" s="203"/>
      <c r="D2" s="138"/>
      <c r="E2" s="86" t="s">
        <v>8</v>
      </c>
      <c r="F2" s="87">
        <v>2018</v>
      </c>
      <c r="G2" s="35"/>
      <c r="H2" s="89" t="s">
        <v>100</v>
      </c>
      <c r="I2" s="35" t="s">
        <v>106</v>
      </c>
      <c r="J2" s="17"/>
      <c r="K2" s="90" t="s">
        <v>102</v>
      </c>
    </row>
    <row r="3" spans="1:11">
      <c r="A3" s="35"/>
      <c r="B3" s="89" t="s">
        <v>99</v>
      </c>
      <c r="C3" s="123" t="s">
        <v>1174</v>
      </c>
      <c r="D3" s="35"/>
      <c r="E3" s="86" t="s">
        <v>68</v>
      </c>
      <c r="F3" s="140" t="s">
        <v>826</v>
      </c>
      <c r="G3" s="35"/>
      <c r="H3" s="89" t="s">
        <v>824</v>
      </c>
      <c r="I3" s="35"/>
      <c r="J3" s="17"/>
      <c r="K3" s="17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178"/>
      <c r="D5" s="1"/>
      <c r="E5" s="86" t="s">
        <v>95</v>
      </c>
      <c r="F5" s="142"/>
      <c r="G5" s="81"/>
      <c r="H5" s="81" t="s">
        <v>96</v>
      </c>
      <c r="I5" s="117"/>
      <c r="J5" s="81"/>
      <c r="K5" s="17"/>
    </row>
    <row r="6" spans="1:11" ht="69.599999999999994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6" customHeight="1">
      <c r="A7" s="98">
        <v>1</v>
      </c>
      <c r="B7" s="98"/>
      <c r="C7" s="98">
        <v>960</v>
      </c>
      <c r="D7" s="135">
        <v>46358</v>
      </c>
      <c r="E7" s="99" t="s">
        <v>1213</v>
      </c>
      <c r="F7" s="100">
        <v>1730000</v>
      </c>
      <c r="G7" s="198">
        <v>250</v>
      </c>
      <c r="H7" s="98" t="s">
        <v>75</v>
      </c>
      <c r="I7" s="98"/>
      <c r="J7" s="142"/>
      <c r="K7" s="17"/>
    </row>
    <row r="8" spans="1:11">
      <c r="A8" s="98">
        <v>2</v>
      </c>
      <c r="B8" s="98"/>
      <c r="C8" s="98"/>
      <c r="D8" s="98"/>
      <c r="E8" s="99"/>
      <c r="F8" s="100"/>
      <c r="G8" s="127"/>
      <c r="H8" s="98"/>
      <c r="I8" s="98"/>
      <c r="J8" s="142"/>
      <c r="K8" s="17"/>
    </row>
    <row r="9" spans="1:11">
      <c r="A9" s="98">
        <v>3</v>
      </c>
      <c r="B9" s="98"/>
      <c r="C9" s="98"/>
      <c r="D9" s="135"/>
      <c r="E9" s="99"/>
      <c r="F9" s="100"/>
      <c r="G9" s="127"/>
      <c r="H9" s="98"/>
      <c r="I9" s="98"/>
      <c r="J9" s="142"/>
      <c r="K9" s="17"/>
    </row>
    <row r="10" spans="1:11">
      <c r="A10" s="98">
        <v>4</v>
      </c>
      <c r="B10" s="98"/>
      <c r="C10" s="98"/>
      <c r="D10" s="135"/>
      <c r="E10" s="99"/>
      <c r="F10" s="100"/>
      <c r="G10" s="127"/>
      <c r="H10" s="98"/>
      <c r="I10" s="98"/>
      <c r="J10" s="142"/>
      <c r="K10" s="17"/>
    </row>
    <row r="11" spans="1:11">
      <c r="A11" s="98">
        <v>5</v>
      </c>
      <c r="B11" s="98"/>
      <c r="C11" s="98"/>
      <c r="D11" s="135"/>
      <c r="E11" s="99"/>
      <c r="F11" s="100"/>
      <c r="G11" s="127"/>
      <c r="H11" s="98"/>
      <c r="I11" s="98"/>
      <c r="J11" s="142"/>
      <c r="K11" s="17"/>
    </row>
    <row r="12" spans="1:11">
      <c r="A12" s="98">
        <v>6</v>
      </c>
      <c r="B12" s="98"/>
      <c r="C12" s="98"/>
      <c r="D12" s="135"/>
      <c r="E12" s="99"/>
      <c r="F12" s="100"/>
      <c r="G12" s="127"/>
      <c r="H12" s="98"/>
      <c r="I12" s="98"/>
      <c r="J12" s="142"/>
      <c r="K12" s="17"/>
    </row>
    <row r="13" spans="1:11">
      <c r="A13" s="98">
        <v>7</v>
      </c>
      <c r="B13" s="98"/>
      <c r="C13" s="98"/>
      <c r="D13" s="135"/>
      <c r="E13" s="99"/>
      <c r="F13" s="100"/>
      <c r="G13" s="127"/>
      <c r="H13" s="98"/>
      <c r="I13" s="98"/>
      <c r="J13" s="142"/>
      <c r="K13" s="17"/>
    </row>
    <row r="14" spans="1:11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42"/>
      <c r="K14" s="17"/>
    </row>
    <row r="15" spans="1:11">
      <c r="A15" s="98">
        <v>30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>
      <c r="A16" s="98">
        <v>31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>
      <c r="A17" s="98">
        <v>32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>
      <c r="A98" s="108"/>
      <c r="B98" s="204" t="s">
        <v>98</v>
      </c>
      <c r="C98" s="204"/>
      <c r="D98" s="108"/>
      <c r="E98" s="118"/>
      <c r="F98" s="119">
        <f>SUM(F7:F97)</f>
        <v>1730000</v>
      </c>
      <c r="G98" s="120">
        <f>SUM(G7:G97)</f>
        <v>250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00000000-0004-0000-03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8"/>
  <sheetViews>
    <sheetView rightToLeft="1" topLeftCell="A80" zoomScale="130" zoomScaleNormal="130" workbookViewId="0">
      <selection activeCell="B8" sqref="B8"/>
    </sheetView>
  </sheetViews>
  <sheetFormatPr defaultRowHeight="17.399999999999999"/>
  <cols>
    <col min="1" max="1" width="4.6640625" style="149" bestFit="1" customWidth="1"/>
    <col min="2" max="2" width="14.33203125" style="149" bestFit="1" customWidth="1"/>
    <col min="3" max="3" width="9" style="149" bestFit="1" customWidth="1"/>
    <col min="4" max="4" width="11.5546875" style="149" bestFit="1" customWidth="1"/>
    <col min="5" max="5" width="73" style="149" bestFit="1" customWidth="1"/>
    <col min="6" max="6" width="15.109375" style="149" bestFit="1" customWidth="1"/>
    <col min="7" max="7" width="6.109375" style="149" bestFit="1" customWidth="1"/>
    <col min="8" max="8" width="13.44140625" style="149" bestFit="1" customWidth="1"/>
    <col min="9" max="9" width="10.5546875" style="149" bestFit="1" customWidth="1"/>
    <col min="10" max="10" width="4.33203125" style="149" bestFit="1" customWidth="1"/>
    <col min="11" max="11" width="16.88671875" style="149" bestFit="1" customWidth="1"/>
    <col min="12" max="16384" width="8.88671875" style="149"/>
  </cols>
  <sheetData>
    <row r="1" spans="1:11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34.799999999999997">
      <c r="A2" s="35">
        <v>1</v>
      </c>
      <c r="B2" s="202" t="s">
        <v>1211</v>
      </c>
      <c r="C2" s="203"/>
      <c r="D2" s="138"/>
      <c r="E2" s="86" t="s">
        <v>8</v>
      </c>
      <c r="F2" s="87">
        <v>2018</v>
      </c>
      <c r="G2" s="35"/>
      <c r="H2" s="89" t="s">
        <v>100</v>
      </c>
      <c r="I2" s="35" t="s">
        <v>106</v>
      </c>
      <c r="J2" s="17"/>
      <c r="K2" s="90" t="s">
        <v>102</v>
      </c>
    </row>
    <row r="3" spans="1:11">
      <c r="A3" s="35"/>
      <c r="B3" s="89" t="s">
        <v>99</v>
      </c>
      <c r="C3" s="149" t="s">
        <v>1175</v>
      </c>
      <c r="D3" s="123"/>
      <c r="E3" s="86" t="s">
        <v>68</v>
      </c>
      <c r="F3" s="140" t="s">
        <v>154</v>
      </c>
      <c r="G3" s="35"/>
      <c r="H3" s="89" t="s">
        <v>824</v>
      </c>
      <c r="I3" s="35"/>
      <c r="J3" s="17"/>
      <c r="K3" s="17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178"/>
      <c r="D5" s="1"/>
      <c r="E5" s="86" t="s">
        <v>95</v>
      </c>
      <c r="F5" s="142"/>
      <c r="G5" s="81"/>
      <c r="H5" s="81" t="s">
        <v>96</v>
      </c>
      <c r="I5" s="117"/>
      <c r="J5" s="81"/>
      <c r="K5" s="17"/>
    </row>
    <row r="6" spans="1:11" ht="52.2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25.2" customHeight="1">
      <c r="A7" s="98">
        <v>1</v>
      </c>
      <c r="B7" s="98"/>
      <c r="C7" s="98">
        <v>960</v>
      </c>
      <c r="D7" s="135">
        <v>46358</v>
      </c>
      <c r="E7" s="99" t="s">
        <v>1213</v>
      </c>
      <c r="F7" s="100">
        <v>1730000</v>
      </c>
      <c r="G7" s="127">
        <v>250</v>
      </c>
      <c r="H7" s="98" t="s">
        <v>75</v>
      </c>
      <c r="I7" s="98"/>
      <c r="J7" s="142"/>
      <c r="K7" s="17"/>
    </row>
    <row r="8" spans="1:11">
      <c r="A8" s="98">
        <v>2</v>
      </c>
      <c r="B8" s="98"/>
      <c r="C8" s="98"/>
      <c r="D8" s="98"/>
      <c r="E8" s="99"/>
      <c r="F8" s="100"/>
      <c r="G8" s="127"/>
      <c r="H8" s="98"/>
      <c r="I8" s="98"/>
      <c r="J8" s="142"/>
      <c r="K8" s="17"/>
    </row>
    <row r="9" spans="1:11">
      <c r="A9" s="98">
        <v>3</v>
      </c>
      <c r="B9" s="98"/>
      <c r="C9" s="98"/>
      <c r="D9" s="135"/>
      <c r="E9" s="99"/>
      <c r="F9" s="100"/>
      <c r="G9" s="127"/>
      <c r="H9" s="98"/>
      <c r="I9" s="98"/>
      <c r="J9" s="142"/>
      <c r="K9" s="17"/>
    </row>
    <row r="10" spans="1:11">
      <c r="A10" s="98">
        <v>4</v>
      </c>
      <c r="B10" s="98"/>
      <c r="C10" s="98"/>
      <c r="D10" s="135"/>
      <c r="E10" s="99"/>
      <c r="F10" s="100"/>
      <c r="G10" s="127"/>
      <c r="H10" s="98"/>
      <c r="I10" s="98"/>
      <c r="J10" s="142"/>
      <c r="K10" s="17"/>
    </row>
    <row r="11" spans="1:11">
      <c r="A11" s="98">
        <v>5</v>
      </c>
      <c r="B11" s="98"/>
      <c r="C11" s="98"/>
      <c r="D11" s="135"/>
      <c r="E11" s="99"/>
      <c r="F11" s="100"/>
      <c r="G11" s="127"/>
      <c r="H11" s="98"/>
      <c r="I11" s="98"/>
      <c r="J11" s="142"/>
      <c r="K11" s="17"/>
    </row>
    <row r="12" spans="1:11">
      <c r="A12" s="98">
        <v>6</v>
      </c>
      <c r="B12" s="98"/>
      <c r="C12" s="98"/>
      <c r="D12" s="135"/>
      <c r="E12" s="99"/>
      <c r="F12" s="100"/>
      <c r="G12" s="127"/>
      <c r="H12" s="98"/>
      <c r="I12" s="98"/>
      <c r="J12" s="142"/>
      <c r="K12" s="17"/>
    </row>
    <row r="13" spans="1:11">
      <c r="A13" s="98">
        <v>7</v>
      </c>
      <c r="B13" s="98"/>
      <c r="C13" s="98"/>
      <c r="D13" s="135"/>
      <c r="E13" s="99"/>
      <c r="F13" s="100"/>
      <c r="G13" s="127"/>
      <c r="H13" s="98"/>
      <c r="I13" s="98"/>
      <c r="J13" s="142"/>
      <c r="K13" s="17"/>
    </row>
    <row r="14" spans="1:11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42"/>
      <c r="K14" s="17"/>
    </row>
    <row r="15" spans="1:11">
      <c r="A15" s="98">
        <v>30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>
      <c r="A16" s="98">
        <v>31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>
      <c r="A17" s="98">
        <v>32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>
      <c r="A98" s="108"/>
      <c r="B98" s="204" t="s">
        <v>98</v>
      </c>
      <c r="C98" s="204"/>
      <c r="D98" s="108"/>
      <c r="E98" s="118"/>
      <c r="F98" s="119">
        <f>SUM(F7:F97)</f>
        <v>1730000</v>
      </c>
      <c r="G98" s="120">
        <f>SUM(G7:G97)</f>
        <v>250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00000000-0004-0000-04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K98"/>
  <sheetViews>
    <sheetView rightToLeft="1" view="pageBreakPreview" zoomScale="130" zoomScaleNormal="100" zoomScaleSheetLayoutView="130" workbookViewId="0">
      <selection activeCell="K2" sqref="K2"/>
    </sheetView>
  </sheetViews>
  <sheetFormatPr defaultColWidth="9.109375" defaultRowHeight="17.399999999999999"/>
  <cols>
    <col min="1" max="1" width="4.6640625" style="1" bestFit="1" customWidth="1"/>
    <col min="2" max="2" width="14.33203125" style="1" bestFit="1" customWidth="1"/>
    <col min="3" max="3" width="14.21875" style="1" bestFit="1" customWidth="1"/>
    <col min="4" max="4" width="11.5546875" style="1" bestFit="1" customWidth="1"/>
    <col min="5" max="5" width="16.6640625" style="73" bestFit="1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9.77734375" style="1" bestFit="1" customWidth="1"/>
    <col min="10" max="10" width="8.88671875" style="1" bestFit="1" customWidth="1"/>
    <col min="11" max="11" width="9.21875" style="1" bestFit="1" customWidth="1"/>
    <col min="12" max="16384" width="9.109375" style="1"/>
  </cols>
  <sheetData>
    <row r="1" spans="1:11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52.2">
      <c r="A2" s="35">
        <v>1</v>
      </c>
      <c r="B2" s="202" t="s">
        <v>63</v>
      </c>
      <c r="C2" s="203"/>
      <c r="D2" s="138"/>
      <c r="E2" s="86" t="s">
        <v>8</v>
      </c>
      <c r="F2" s="87">
        <v>2018</v>
      </c>
      <c r="G2" s="35"/>
      <c r="H2" s="89" t="s">
        <v>100</v>
      </c>
      <c r="I2" s="35" t="s">
        <v>106</v>
      </c>
      <c r="J2" s="17"/>
      <c r="K2" s="90" t="s">
        <v>102</v>
      </c>
    </row>
    <row r="3" spans="1:11">
      <c r="A3" s="35"/>
      <c r="B3" s="89" t="s">
        <v>99</v>
      </c>
      <c r="C3" s="123" t="s">
        <v>831</v>
      </c>
      <c r="D3" s="35"/>
      <c r="E3" s="86" t="s">
        <v>68</v>
      </c>
      <c r="F3" s="140" t="s">
        <v>70</v>
      </c>
      <c r="G3" s="35"/>
      <c r="H3" s="89" t="s">
        <v>824</v>
      </c>
      <c r="I3" s="35" t="s">
        <v>104</v>
      </c>
      <c r="J3" s="17"/>
      <c r="K3" s="17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178" t="s">
        <v>847</v>
      </c>
      <c r="E5" s="86" t="s">
        <v>95</v>
      </c>
      <c r="F5" s="142">
        <f>J9</f>
        <v>100000</v>
      </c>
      <c r="G5" s="81"/>
      <c r="H5" s="81" t="s">
        <v>96</v>
      </c>
      <c r="I5" s="117">
        <f>MAX(J7:J120)</f>
        <v>126000</v>
      </c>
      <c r="J5" s="81"/>
      <c r="K5" s="17"/>
    </row>
    <row r="6" spans="1:11" s="73" customFormat="1" ht="52.2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52.2">
      <c r="A7" s="98">
        <v>1</v>
      </c>
      <c r="B7" s="98" t="s">
        <v>103</v>
      </c>
      <c r="C7" s="98">
        <v>5601</v>
      </c>
      <c r="D7" s="135">
        <v>45117</v>
      </c>
      <c r="E7" s="99" t="s">
        <v>494</v>
      </c>
      <c r="F7" s="100">
        <v>1230000</v>
      </c>
      <c r="G7" s="127"/>
      <c r="H7" s="98" t="s">
        <v>103</v>
      </c>
      <c r="I7" s="98"/>
      <c r="J7" s="142"/>
      <c r="K7" s="17"/>
    </row>
    <row r="8" spans="1:11" ht="34.799999999999997">
      <c r="A8" s="98">
        <v>2</v>
      </c>
      <c r="B8" s="98" t="s">
        <v>103</v>
      </c>
      <c r="C8" s="98">
        <v>6777</v>
      </c>
      <c r="D8" s="98" t="s">
        <v>560</v>
      </c>
      <c r="E8" s="99" t="s">
        <v>561</v>
      </c>
      <c r="F8" s="100">
        <v>260000</v>
      </c>
      <c r="G8" s="127"/>
      <c r="H8" s="98" t="s">
        <v>103</v>
      </c>
      <c r="I8" s="98"/>
      <c r="J8" s="142"/>
      <c r="K8" s="17"/>
    </row>
    <row r="9" spans="1:11">
      <c r="A9" s="98">
        <v>3</v>
      </c>
      <c r="B9" s="98" t="s">
        <v>103</v>
      </c>
      <c r="C9" s="98">
        <v>8097</v>
      </c>
      <c r="D9" s="135">
        <v>45742</v>
      </c>
      <c r="E9" s="99" t="s">
        <v>670</v>
      </c>
      <c r="F9" s="100">
        <v>50000</v>
      </c>
      <c r="G9" s="127"/>
      <c r="H9" s="98" t="s">
        <v>723</v>
      </c>
      <c r="I9" s="98"/>
      <c r="J9" s="142">
        <v>100000</v>
      </c>
      <c r="K9" s="17"/>
    </row>
    <row r="10" spans="1:11">
      <c r="A10" s="98">
        <v>4</v>
      </c>
      <c r="B10" s="98" t="s">
        <v>104</v>
      </c>
      <c r="C10" s="98">
        <v>8146</v>
      </c>
      <c r="D10" s="135">
        <v>45759</v>
      </c>
      <c r="E10" s="99" t="s">
        <v>743</v>
      </c>
      <c r="F10" s="100">
        <v>20000</v>
      </c>
      <c r="G10" s="127"/>
      <c r="H10" s="98" t="s">
        <v>104</v>
      </c>
      <c r="I10" s="98"/>
      <c r="J10" s="142"/>
      <c r="K10" s="17"/>
    </row>
    <row r="11" spans="1:11">
      <c r="A11" s="98">
        <v>5</v>
      </c>
      <c r="B11" s="98" t="s">
        <v>104</v>
      </c>
      <c r="C11" s="98">
        <v>8872</v>
      </c>
      <c r="D11" s="135">
        <v>45801</v>
      </c>
      <c r="E11" s="99" t="s">
        <v>770</v>
      </c>
      <c r="F11" s="100">
        <v>160000</v>
      </c>
      <c r="G11" s="127"/>
      <c r="H11" s="98" t="s">
        <v>103</v>
      </c>
      <c r="I11" s="98"/>
      <c r="J11" s="142"/>
      <c r="K11" s="17"/>
    </row>
    <row r="12" spans="1:11">
      <c r="A12" s="98">
        <v>6</v>
      </c>
      <c r="B12" s="98" t="s">
        <v>104</v>
      </c>
      <c r="C12" s="98">
        <v>9176</v>
      </c>
      <c r="D12" s="135">
        <v>45845</v>
      </c>
      <c r="E12" s="99" t="s">
        <v>670</v>
      </c>
      <c r="F12" s="100">
        <v>44500</v>
      </c>
      <c r="G12" s="127"/>
      <c r="H12" s="98" t="s">
        <v>723</v>
      </c>
      <c r="I12" s="98"/>
      <c r="J12" s="142">
        <v>104500</v>
      </c>
      <c r="K12" s="17"/>
    </row>
    <row r="13" spans="1:11">
      <c r="A13" s="98">
        <v>7</v>
      </c>
      <c r="B13" s="98" t="s">
        <v>104</v>
      </c>
      <c r="C13" s="98">
        <v>223</v>
      </c>
      <c r="D13" s="135">
        <v>45668</v>
      </c>
      <c r="E13" s="99" t="s">
        <v>1214</v>
      </c>
      <c r="F13" s="100">
        <v>49500</v>
      </c>
      <c r="G13" s="127"/>
      <c r="H13" s="98" t="s">
        <v>104</v>
      </c>
      <c r="I13" s="98"/>
      <c r="J13" s="142">
        <v>112000</v>
      </c>
      <c r="K13" s="17"/>
    </row>
    <row r="14" spans="1:11">
      <c r="A14" s="98">
        <v>8</v>
      </c>
      <c r="B14" s="98" t="s">
        <v>104</v>
      </c>
      <c r="C14" s="98">
        <v>700</v>
      </c>
      <c r="D14" s="135">
        <v>46204</v>
      </c>
      <c r="E14" s="99" t="s">
        <v>670</v>
      </c>
      <c r="F14" s="100">
        <v>44500</v>
      </c>
      <c r="G14" s="127"/>
      <c r="H14" s="98" t="s">
        <v>104</v>
      </c>
      <c r="I14" s="98"/>
      <c r="J14" s="142">
        <v>116869</v>
      </c>
      <c r="K14" s="17"/>
    </row>
    <row r="15" spans="1:11" ht="34.799999999999997">
      <c r="A15" s="98">
        <v>30</v>
      </c>
      <c r="B15" s="98" t="s">
        <v>104</v>
      </c>
      <c r="C15" s="98">
        <v>1107</v>
      </c>
      <c r="D15" s="135">
        <v>46268</v>
      </c>
      <c r="E15" s="99" t="s">
        <v>1218</v>
      </c>
      <c r="F15" s="100">
        <v>59000</v>
      </c>
      <c r="G15" s="127"/>
      <c r="H15" s="98" t="s">
        <v>104</v>
      </c>
      <c r="I15" s="98"/>
      <c r="J15" s="102">
        <v>121052</v>
      </c>
      <c r="K15" s="17"/>
    </row>
    <row r="16" spans="1:11" ht="34.799999999999997">
      <c r="A16" s="98">
        <v>31</v>
      </c>
      <c r="B16" s="98" t="s">
        <v>104</v>
      </c>
      <c r="C16" s="98">
        <v>1213</v>
      </c>
      <c r="D16" s="135">
        <v>46116</v>
      </c>
      <c r="E16" s="99" t="s">
        <v>1255</v>
      </c>
      <c r="F16" s="100">
        <v>225000</v>
      </c>
      <c r="G16" s="127"/>
      <c r="H16" s="98" t="s">
        <v>104</v>
      </c>
      <c r="I16" s="98"/>
      <c r="J16" s="102"/>
      <c r="K16" s="17"/>
    </row>
    <row r="17" spans="1:11">
      <c r="A17" s="98">
        <v>32</v>
      </c>
      <c r="B17" s="98" t="s">
        <v>104</v>
      </c>
      <c r="C17" s="98">
        <v>1429</v>
      </c>
      <c r="D17" s="98" t="s">
        <v>1285</v>
      </c>
      <c r="E17" s="99" t="s">
        <v>670</v>
      </c>
      <c r="F17" s="100">
        <v>60000</v>
      </c>
      <c r="G17" s="127"/>
      <c r="H17" s="98" t="s">
        <v>104</v>
      </c>
      <c r="I17" s="98"/>
      <c r="J17" s="102">
        <v>126000</v>
      </c>
      <c r="K17" s="17"/>
    </row>
    <row r="18" spans="1:11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>
      <c r="A98" s="108"/>
      <c r="B98" s="204" t="s">
        <v>98</v>
      </c>
      <c r="C98" s="204"/>
      <c r="D98" s="108"/>
      <c r="E98" s="118"/>
      <c r="F98" s="119">
        <f>SUM(F7:F96)</f>
        <v>2202500</v>
      </c>
      <c r="G98" s="120">
        <f>SUM(G7:G96)</f>
        <v>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00000000-0004-0000-0500-000000000000}"/>
  </hyperlinks>
  <pageMargins left="0.7" right="0.7" top="0.75" bottom="0.75" header="0.3" footer="0.3"/>
  <pageSetup paperSize="9" scale="2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K118"/>
  <sheetViews>
    <sheetView rightToLeft="1" view="pageBreakPreview" zoomScale="150" zoomScaleNormal="100" zoomScaleSheetLayoutView="150" workbookViewId="0">
      <selection activeCell="K2" sqref="K2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4" width="12.77734375" style="1" bestFit="1" customWidth="1"/>
    <col min="5" max="5" width="16.21875" style="73" bestFit="1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11.44140625" style="1" customWidth="1"/>
    <col min="10" max="10" width="7.109375" style="1" bestFit="1" customWidth="1"/>
    <col min="11" max="11" width="9.2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2</v>
      </c>
      <c r="B2" s="202" t="s">
        <v>92</v>
      </c>
      <c r="C2" s="203"/>
      <c r="D2" s="85"/>
      <c r="E2" s="86" t="s">
        <v>8</v>
      </c>
      <c r="F2" s="87">
        <v>2019</v>
      </c>
      <c r="G2" s="89"/>
      <c r="H2" s="89" t="s">
        <v>100</v>
      </c>
      <c r="I2" s="35" t="s">
        <v>106</v>
      </c>
      <c r="J2" s="81"/>
      <c r="K2" s="90" t="s">
        <v>102</v>
      </c>
    </row>
    <row r="3" spans="1:11">
      <c r="A3" s="35"/>
      <c r="B3" s="89" t="s">
        <v>99</v>
      </c>
      <c r="C3" s="17" t="s">
        <v>817</v>
      </c>
      <c r="D3" s="89"/>
      <c r="E3" s="86" t="s">
        <v>68</v>
      </c>
      <c r="F3" s="140" t="s">
        <v>70</v>
      </c>
      <c r="G3" s="89"/>
      <c r="H3" s="89" t="s">
        <v>824</v>
      </c>
      <c r="I3" s="35" t="s">
        <v>108</v>
      </c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81" t="s">
        <v>855</v>
      </c>
      <c r="C5" s="178" t="s">
        <v>847</v>
      </c>
      <c r="E5" s="86" t="s">
        <v>95</v>
      </c>
      <c r="F5" s="93"/>
      <c r="G5" s="81"/>
      <c r="H5" s="81" t="s">
        <v>96</v>
      </c>
      <c r="I5" s="23">
        <f>MAX(J7:J141)</f>
        <v>81700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1</v>
      </c>
      <c r="B7" s="98" t="s">
        <v>142</v>
      </c>
      <c r="C7" s="98">
        <v>5324</v>
      </c>
      <c r="D7" s="135">
        <v>44993</v>
      </c>
      <c r="E7" s="99" t="s">
        <v>144</v>
      </c>
      <c r="F7" s="100">
        <v>47000</v>
      </c>
      <c r="G7" s="127"/>
      <c r="H7" s="98" t="s">
        <v>142</v>
      </c>
      <c r="I7" s="98"/>
      <c r="J7" s="102"/>
      <c r="K7" s="17"/>
    </row>
    <row r="8" spans="1:11">
      <c r="A8" s="98">
        <v>2</v>
      </c>
      <c r="B8" s="98" t="s">
        <v>142</v>
      </c>
      <c r="C8" s="98">
        <v>5492</v>
      </c>
      <c r="D8" s="98" t="s">
        <v>341</v>
      </c>
      <c r="E8" s="99" t="s">
        <v>145</v>
      </c>
      <c r="F8" s="100">
        <v>75000</v>
      </c>
      <c r="G8" s="127"/>
      <c r="H8" s="98" t="s">
        <v>113</v>
      </c>
      <c r="I8" s="98"/>
      <c r="J8" s="102"/>
      <c r="K8" s="17"/>
    </row>
    <row r="9" spans="1:11">
      <c r="A9" s="98">
        <v>3</v>
      </c>
      <c r="B9" s="98" t="s">
        <v>142</v>
      </c>
      <c r="C9" s="98">
        <v>5715</v>
      </c>
      <c r="D9" s="135">
        <v>44937</v>
      </c>
      <c r="E9" s="99" t="s">
        <v>301</v>
      </c>
      <c r="F9" s="100">
        <v>128000</v>
      </c>
      <c r="G9" s="127"/>
      <c r="H9" s="98" t="s">
        <v>142</v>
      </c>
      <c r="I9" s="98"/>
      <c r="J9" s="102"/>
      <c r="K9" s="17"/>
    </row>
    <row r="10" spans="1:11">
      <c r="A10" s="98">
        <v>4</v>
      </c>
      <c r="B10" s="98" t="s">
        <v>142</v>
      </c>
      <c r="C10" s="98">
        <v>5918</v>
      </c>
      <c r="D10" s="98" t="s">
        <v>390</v>
      </c>
      <c r="E10" s="99" t="s">
        <v>144</v>
      </c>
      <c r="F10" s="100">
        <v>50000</v>
      </c>
      <c r="G10" s="127"/>
      <c r="H10" s="98" t="s">
        <v>105</v>
      </c>
      <c r="I10" s="98"/>
      <c r="J10" s="102"/>
      <c r="K10" s="17"/>
    </row>
    <row r="11" spans="1:11">
      <c r="A11" s="98">
        <v>5</v>
      </c>
      <c r="B11" s="98" t="s">
        <v>142</v>
      </c>
      <c r="C11" s="98">
        <v>6215</v>
      </c>
      <c r="D11" s="135" t="s">
        <v>417</v>
      </c>
      <c r="E11" s="99" t="s">
        <v>259</v>
      </c>
      <c r="F11" s="100">
        <v>290000</v>
      </c>
      <c r="G11" s="127"/>
      <c r="H11" s="98" t="s">
        <v>105</v>
      </c>
      <c r="I11" s="98"/>
      <c r="J11" s="102"/>
      <c r="K11" s="17"/>
    </row>
    <row r="12" spans="1:11">
      <c r="A12" s="98">
        <v>6</v>
      </c>
      <c r="B12" s="98" t="s">
        <v>142</v>
      </c>
      <c r="C12" s="98">
        <v>6456</v>
      </c>
      <c r="D12" s="135">
        <v>45327</v>
      </c>
      <c r="E12" s="99" t="s">
        <v>144</v>
      </c>
      <c r="F12" s="100">
        <v>60000</v>
      </c>
      <c r="G12" s="127"/>
      <c r="H12" s="98" t="s">
        <v>142</v>
      </c>
      <c r="I12" s="98"/>
      <c r="J12" s="102"/>
      <c r="K12" s="17"/>
    </row>
    <row r="13" spans="1:11" ht="34.799999999999997">
      <c r="A13" s="98">
        <v>7</v>
      </c>
      <c r="B13" s="98" t="s">
        <v>142</v>
      </c>
      <c r="C13" s="98">
        <v>6793</v>
      </c>
      <c r="D13" s="98" t="s">
        <v>543</v>
      </c>
      <c r="E13" s="99" t="s">
        <v>544</v>
      </c>
      <c r="F13" s="100">
        <v>168000</v>
      </c>
      <c r="G13" s="127"/>
      <c r="H13" s="98" t="s">
        <v>142</v>
      </c>
      <c r="I13" s="98"/>
      <c r="J13" s="102"/>
      <c r="K13" s="17"/>
    </row>
    <row r="14" spans="1:11" ht="34.799999999999997">
      <c r="A14" s="98">
        <v>8</v>
      </c>
      <c r="B14" s="98" t="s">
        <v>142</v>
      </c>
      <c r="C14" s="98">
        <v>7092</v>
      </c>
      <c r="D14" s="135">
        <v>45565</v>
      </c>
      <c r="E14" s="99" t="s">
        <v>584</v>
      </c>
      <c r="F14" s="100">
        <v>420000</v>
      </c>
      <c r="G14" s="127"/>
      <c r="H14" s="98" t="s">
        <v>585</v>
      </c>
      <c r="I14" s="98"/>
      <c r="J14" s="102"/>
      <c r="K14" s="17"/>
    </row>
    <row r="15" spans="1:11" ht="34.799999999999997">
      <c r="A15" s="98">
        <v>9</v>
      </c>
      <c r="B15" s="98" t="s">
        <v>142</v>
      </c>
      <c r="C15" s="98"/>
      <c r="D15" s="135">
        <v>45580</v>
      </c>
      <c r="E15" s="99" t="s">
        <v>596</v>
      </c>
      <c r="F15" s="100">
        <v>285000</v>
      </c>
      <c r="G15" s="127"/>
      <c r="H15" s="98" t="s">
        <v>142</v>
      </c>
      <c r="I15" s="98"/>
      <c r="J15" s="102"/>
      <c r="K15" s="17"/>
    </row>
    <row r="16" spans="1:11" ht="156.6">
      <c r="A16" s="98">
        <v>10</v>
      </c>
      <c r="B16" s="98" t="s">
        <v>142</v>
      </c>
      <c r="C16" s="98">
        <v>7286</v>
      </c>
      <c r="D16" s="135">
        <v>45600</v>
      </c>
      <c r="E16" s="99" t="s">
        <v>601</v>
      </c>
      <c r="F16" s="100">
        <v>450000</v>
      </c>
      <c r="G16" s="127"/>
      <c r="H16" s="98" t="s">
        <v>142</v>
      </c>
      <c r="I16" s="98"/>
      <c r="J16" s="102"/>
      <c r="K16" s="17"/>
    </row>
    <row r="17" spans="1:11" ht="34.799999999999997">
      <c r="A17" s="98">
        <v>11</v>
      </c>
      <c r="B17" s="98" t="s">
        <v>142</v>
      </c>
      <c r="C17" s="98">
        <v>7698</v>
      </c>
      <c r="D17" s="135">
        <v>45671</v>
      </c>
      <c r="E17" s="99" t="s">
        <v>671</v>
      </c>
      <c r="F17" s="100">
        <v>120000</v>
      </c>
      <c r="G17" s="127"/>
      <c r="H17" s="98" t="s">
        <v>585</v>
      </c>
      <c r="I17" s="98"/>
      <c r="J17" s="102"/>
      <c r="K17" s="17"/>
    </row>
    <row r="18" spans="1:11">
      <c r="A18" s="98">
        <v>12</v>
      </c>
      <c r="B18" s="98" t="s">
        <v>142</v>
      </c>
      <c r="C18" s="98">
        <v>8929</v>
      </c>
      <c r="D18" s="135">
        <v>45808</v>
      </c>
      <c r="E18" s="99" t="s">
        <v>670</v>
      </c>
      <c r="F18" s="100">
        <v>75000</v>
      </c>
      <c r="G18" s="127"/>
      <c r="H18" s="98" t="s">
        <v>142</v>
      </c>
      <c r="I18" s="98"/>
      <c r="J18" s="102"/>
      <c r="K18" s="17"/>
    </row>
    <row r="19" spans="1:11">
      <c r="A19" s="98">
        <v>13</v>
      </c>
      <c r="B19" s="98" t="s">
        <v>142</v>
      </c>
      <c r="C19" s="98">
        <v>9368</v>
      </c>
      <c r="D19" s="135">
        <v>45865</v>
      </c>
      <c r="E19" s="99" t="s">
        <v>145</v>
      </c>
      <c r="F19" s="100">
        <v>85000</v>
      </c>
      <c r="G19" s="127"/>
      <c r="H19" s="98" t="s">
        <v>723</v>
      </c>
      <c r="I19" s="98"/>
      <c r="J19" s="102"/>
      <c r="K19" s="17"/>
    </row>
    <row r="20" spans="1:11">
      <c r="A20" s="98">
        <v>14</v>
      </c>
      <c r="B20" s="98"/>
      <c r="C20" s="98">
        <v>187</v>
      </c>
      <c r="D20" s="135">
        <v>45958</v>
      </c>
      <c r="E20" s="99" t="s">
        <v>670</v>
      </c>
      <c r="F20" s="100">
        <v>75000</v>
      </c>
      <c r="G20" s="127"/>
      <c r="H20" s="98" t="s">
        <v>1061</v>
      </c>
      <c r="I20" s="98"/>
      <c r="J20" s="98">
        <v>81700</v>
      </c>
      <c r="K20" s="17"/>
    </row>
    <row r="21" spans="1:11" ht="34.799999999999997">
      <c r="A21" s="98">
        <v>15</v>
      </c>
      <c r="B21" s="98"/>
      <c r="C21" s="98">
        <v>1395</v>
      </c>
      <c r="D21" s="135">
        <v>46300</v>
      </c>
      <c r="E21" s="99" t="s">
        <v>1273</v>
      </c>
      <c r="F21" s="100">
        <v>310000</v>
      </c>
      <c r="G21" s="127"/>
      <c r="H21" s="1" t="s">
        <v>1061</v>
      </c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31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32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33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34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35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36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37</v>
      </c>
      <c r="B43" s="98"/>
      <c r="C43" s="98"/>
      <c r="D43" s="98"/>
      <c r="E43" s="99"/>
      <c r="F43" s="100"/>
      <c r="G43" s="127"/>
      <c r="H43" s="98"/>
      <c r="I43" s="98"/>
      <c r="J43" s="102"/>
      <c r="K43" s="17"/>
    </row>
    <row r="44" spans="1:11">
      <c r="A44" s="98">
        <v>38</v>
      </c>
      <c r="B44" s="98"/>
      <c r="C44" s="98"/>
      <c r="D44" s="98"/>
      <c r="E44" s="99"/>
      <c r="F44" s="100"/>
      <c r="G44" s="127"/>
      <c r="H44" s="98"/>
      <c r="I44" s="98"/>
      <c r="J44" s="102"/>
      <c r="K44" s="17"/>
    </row>
    <row r="45" spans="1:11">
      <c r="A45" s="98">
        <v>39</v>
      </c>
      <c r="B45" s="98"/>
      <c r="C45" s="98"/>
      <c r="D45" s="98"/>
      <c r="E45" s="99"/>
      <c r="F45" s="100"/>
      <c r="G45" s="127"/>
      <c r="H45" s="98"/>
      <c r="I45" s="98"/>
      <c r="J45" s="102"/>
      <c r="K45" s="17"/>
    </row>
    <row r="46" spans="1:11">
      <c r="A46" s="98">
        <v>40</v>
      </c>
      <c r="B46" s="98"/>
      <c r="C46" s="98"/>
      <c r="D46" s="98"/>
      <c r="E46" s="99"/>
      <c r="F46" s="100"/>
      <c r="G46" s="127"/>
      <c r="H46" s="98"/>
      <c r="I46" s="98"/>
      <c r="J46" s="102"/>
      <c r="K46" s="17"/>
    </row>
    <row r="47" spans="1:11">
      <c r="A47" s="98">
        <v>41</v>
      </c>
      <c r="B47" s="98"/>
      <c r="C47" s="98"/>
      <c r="D47" s="98"/>
      <c r="E47" s="99"/>
      <c r="F47" s="100"/>
      <c r="G47" s="127"/>
      <c r="H47" s="98"/>
      <c r="I47" s="98"/>
      <c r="J47" s="102"/>
      <c r="K47" s="17"/>
    </row>
    <row r="48" spans="1:11">
      <c r="A48" s="98">
        <v>42</v>
      </c>
      <c r="B48" s="98"/>
      <c r="C48" s="98"/>
      <c r="D48" s="98"/>
      <c r="E48" s="99"/>
      <c r="F48" s="100"/>
      <c r="G48" s="127"/>
      <c r="H48" s="98"/>
      <c r="I48" s="98"/>
      <c r="J48" s="102"/>
      <c r="K48" s="17"/>
    </row>
    <row r="49" spans="1:11">
      <c r="A49" s="98">
        <v>43</v>
      </c>
      <c r="B49" s="98"/>
      <c r="C49" s="98"/>
      <c r="D49" s="98"/>
      <c r="E49" s="99"/>
      <c r="F49" s="100"/>
      <c r="G49" s="127"/>
      <c r="H49" s="98"/>
      <c r="I49" s="98"/>
      <c r="J49" s="102"/>
      <c r="K49" s="17"/>
    </row>
    <row r="50" spans="1:11">
      <c r="A50" s="98">
        <v>44</v>
      </c>
      <c r="B50" s="98"/>
      <c r="C50" s="98"/>
      <c r="D50" s="98"/>
      <c r="E50" s="99"/>
      <c r="F50" s="100"/>
      <c r="G50" s="127"/>
      <c r="H50" s="98"/>
      <c r="I50" s="98"/>
      <c r="J50" s="102"/>
      <c r="K50" s="17"/>
    </row>
    <row r="51" spans="1:11">
      <c r="A51" s="103"/>
      <c r="B51" s="206" t="s">
        <v>98</v>
      </c>
      <c r="C51" s="206"/>
      <c r="D51" s="103"/>
      <c r="E51" s="104"/>
      <c r="F51" s="105">
        <f>SUM(F7:F50)</f>
        <v>2638000</v>
      </c>
      <c r="G51" s="106">
        <f>SUM(G7:G50)</f>
        <v>0</v>
      </c>
      <c r="H51" s="103"/>
      <c r="I51" s="103"/>
      <c r="J51" s="107"/>
      <c r="K51" s="108"/>
    </row>
    <row r="52" spans="1:11">
      <c r="A52" s="109"/>
      <c r="B52" s="109"/>
      <c r="C52" s="109"/>
      <c r="D52" s="109"/>
      <c r="E52" s="110"/>
      <c r="F52" s="111"/>
      <c r="G52" s="129"/>
      <c r="H52" s="109"/>
      <c r="I52" s="109"/>
      <c r="J52" s="113"/>
    </row>
    <row r="53" spans="1:11">
      <c r="A53" s="109"/>
      <c r="B53" s="109"/>
      <c r="C53" s="109"/>
      <c r="D53" s="109"/>
      <c r="E53" s="110"/>
      <c r="F53" s="111"/>
      <c r="G53" s="129"/>
      <c r="H53" s="109"/>
      <c r="I53" s="109"/>
      <c r="J53" s="113"/>
    </row>
    <row r="54" spans="1:11">
      <c r="A54" s="109"/>
      <c r="B54" s="109"/>
      <c r="C54" s="109"/>
      <c r="D54" s="109"/>
      <c r="E54" s="110"/>
      <c r="F54" s="111"/>
      <c r="G54" s="129"/>
      <c r="H54" s="109"/>
      <c r="I54" s="109"/>
      <c r="J54" s="113"/>
    </row>
    <row r="55" spans="1:11">
      <c r="A55" s="109"/>
      <c r="B55" s="109"/>
      <c r="C55" s="109"/>
      <c r="D55" s="109"/>
      <c r="E55" s="110"/>
      <c r="F55" s="111"/>
      <c r="G55" s="129"/>
      <c r="H55" s="109"/>
      <c r="I55" s="109"/>
      <c r="J55" s="113"/>
    </row>
    <row r="56" spans="1:11">
      <c r="A56" s="109"/>
      <c r="B56" s="109"/>
      <c r="C56" s="109"/>
      <c r="D56" s="109"/>
      <c r="E56" s="110"/>
      <c r="F56" s="111"/>
      <c r="G56" s="129"/>
      <c r="H56" s="109"/>
      <c r="I56" s="109"/>
      <c r="J56" s="113"/>
    </row>
    <row r="57" spans="1:11">
      <c r="A57" s="109"/>
      <c r="B57" s="109"/>
      <c r="C57" s="109"/>
      <c r="D57" s="109"/>
      <c r="E57" s="110"/>
      <c r="F57" s="111"/>
      <c r="G57" s="129"/>
      <c r="H57" s="109"/>
      <c r="I57" s="109"/>
      <c r="J57" s="113"/>
    </row>
    <row r="58" spans="1:11">
      <c r="A58" s="109"/>
      <c r="B58" s="109"/>
      <c r="C58" s="109"/>
      <c r="D58" s="109"/>
      <c r="E58" s="110"/>
      <c r="F58" s="111"/>
      <c r="G58" s="129"/>
      <c r="H58" s="109"/>
      <c r="I58" s="109"/>
      <c r="J58" s="113"/>
    </row>
    <row r="59" spans="1:11">
      <c r="A59" s="109"/>
      <c r="B59" s="109"/>
      <c r="C59" s="109"/>
      <c r="D59" s="109"/>
      <c r="E59" s="110"/>
      <c r="F59" s="111"/>
      <c r="G59" s="129"/>
      <c r="H59" s="109"/>
      <c r="I59" s="109"/>
      <c r="J59" s="113"/>
    </row>
    <row r="60" spans="1:11">
      <c r="A60" s="109"/>
      <c r="B60" s="109"/>
      <c r="C60" s="109"/>
      <c r="D60" s="109"/>
      <c r="E60" s="110"/>
      <c r="F60" s="111"/>
      <c r="G60" s="129"/>
      <c r="H60" s="109"/>
      <c r="I60" s="109"/>
      <c r="J60" s="113"/>
    </row>
    <row r="61" spans="1:11">
      <c r="A61" s="109"/>
      <c r="B61" s="109"/>
      <c r="C61" s="109"/>
      <c r="D61" s="109"/>
      <c r="E61" s="110"/>
      <c r="F61" s="111"/>
      <c r="G61" s="129"/>
      <c r="H61" s="109"/>
      <c r="I61" s="109"/>
      <c r="J61" s="113"/>
    </row>
    <row r="62" spans="1:11">
      <c r="A62" s="109"/>
      <c r="B62" s="109"/>
      <c r="C62" s="109"/>
      <c r="D62" s="109"/>
      <c r="E62" s="110"/>
      <c r="F62" s="111"/>
      <c r="G62" s="129"/>
      <c r="H62" s="109"/>
      <c r="I62" s="109"/>
      <c r="J62" s="113"/>
    </row>
    <row r="63" spans="1:11">
      <c r="A63" s="109"/>
      <c r="B63" s="109"/>
      <c r="C63" s="109"/>
      <c r="D63" s="109"/>
      <c r="E63" s="110"/>
      <c r="F63" s="111"/>
      <c r="G63" s="129"/>
      <c r="H63" s="109"/>
      <c r="I63" s="109"/>
      <c r="J63" s="113"/>
    </row>
    <row r="64" spans="1:11">
      <c r="A64" s="109"/>
      <c r="B64" s="109"/>
      <c r="C64" s="109"/>
      <c r="D64" s="109"/>
      <c r="E64" s="110"/>
      <c r="F64" s="111"/>
      <c r="G64" s="129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29"/>
      <c r="H65" s="109"/>
      <c r="I65" s="109"/>
      <c r="J65" s="113"/>
    </row>
    <row r="66" spans="1:10">
      <c r="J66" s="115"/>
    </row>
    <row r="67" spans="1:10">
      <c r="J67" s="115"/>
    </row>
    <row r="68" spans="1:10">
      <c r="J68" s="115"/>
    </row>
    <row r="69" spans="1:10">
      <c r="J69" s="115"/>
    </row>
    <row r="70" spans="1:10">
      <c r="J70" s="115"/>
    </row>
    <row r="71" spans="1:10">
      <c r="J71" s="115"/>
    </row>
    <row r="72" spans="1:10">
      <c r="J72" s="115"/>
    </row>
    <row r="73" spans="1:10">
      <c r="J73" s="115"/>
    </row>
    <row r="74" spans="1:10">
      <c r="J74" s="115"/>
    </row>
    <row r="75" spans="1:10">
      <c r="J75" s="115"/>
    </row>
    <row r="76" spans="1:10">
      <c r="J76" s="115"/>
    </row>
    <row r="77" spans="1:10">
      <c r="J77" s="115"/>
    </row>
    <row r="78" spans="1:10">
      <c r="J78" s="115"/>
    </row>
    <row r="79" spans="1:10">
      <c r="J79" s="115"/>
    </row>
    <row r="80" spans="1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51:C51"/>
  </mergeCells>
  <hyperlinks>
    <hyperlink ref="K2" location="الاليات!A1" display="الاليات " xr:uid="{00000000-0004-0000-0600-000000000000}"/>
  </hyperlinks>
  <pageMargins left="0.7" right="0.7" top="0.75" bottom="0.75" header="0.3" footer="0.3"/>
  <pageSetup paperSize="9" scale="4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K118"/>
  <sheetViews>
    <sheetView rightToLeft="1" view="pageBreakPreview" zoomScale="140" zoomScaleNormal="100" zoomScaleSheetLayoutView="140" workbookViewId="0">
      <selection activeCell="K2" sqref="K2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4" width="12.77734375" style="1" bestFit="1" customWidth="1"/>
    <col min="5" max="5" width="18.109375" style="73" bestFit="1" customWidth="1"/>
    <col min="6" max="6" width="15.109375" style="114" bestFit="1" customWidth="1"/>
    <col min="7" max="7" width="7.6640625" style="79" bestFit="1" customWidth="1"/>
    <col min="8" max="8" width="13.44140625" style="1" bestFit="1" customWidth="1"/>
    <col min="9" max="9" width="12.21875" style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</v>
      </c>
      <c r="B2" s="202" t="s">
        <v>65</v>
      </c>
      <c r="C2" s="203"/>
      <c r="D2" s="85"/>
      <c r="E2" s="86" t="s">
        <v>8</v>
      </c>
      <c r="F2" s="87">
        <v>2021</v>
      </c>
      <c r="G2" s="88"/>
      <c r="H2" s="89" t="s">
        <v>100</v>
      </c>
      <c r="I2" s="35" t="s">
        <v>106</v>
      </c>
      <c r="J2" s="81"/>
      <c r="K2" s="90" t="s">
        <v>102</v>
      </c>
    </row>
    <row r="3" spans="1:11">
      <c r="A3" s="35"/>
      <c r="B3" s="89" t="s">
        <v>99</v>
      </c>
      <c r="C3" s="17" t="s">
        <v>825</v>
      </c>
      <c r="D3" s="89"/>
      <c r="E3" s="86" t="s">
        <v>68</v>
      </c>
      <c r="F3" s="140" t="s">
        <v>826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178" t="s">
        <v>847</v>
      </c>
      <c r="E5" s="86" t="s">
        <v>95</v>
      </c>
      <c r="F5" s="166"/>
      <c r="G5" s="81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25</v>
      </c>
      <c r="B7" s="98" t="s">
        <v>106</v>
      </c>
      <c r="C7" s="98">
        <v>4342</v>
      </c>
      <c r="D7" s="135" t="s">
        <v>221</v>
      </c>
      <c r="E7" s="99" t="s">
        <v>134</v>
      </c>
      <c r="F7" s="100">
        <v>20000</v>
      </c>
      <c r="G7" s="101"/>
      <c r="H7" s="98"/>
      <c r="I7" s="98"/>
      <c r="J7" s="102"/>
      <c r="K7" s="17"/>
    </row>
    <row r="8" spans="1:11">
      <c r="A8" s="98">
        <v>28</v>
      </c>
      <c r="B8" s="98" t="s">
        <v>106</v>
      </c>
      <c r="C8" s="98">
        <v>4594</v>
      </c>
      <c r="D8" s="135">
        <v>44960</v>
      </c>
      <c r="E8" s="99" t="s">
        <v>188</v>
      </c>
      <c r="F8" s="100">
        <v>50000</v>
      </c>
      <c r="G8" s="101">
        <v>150</v>
      </c>
      <c r="H8" s="98" t="s">
        <v>113</v>
      </c>
      <c r="I8" s="98"/>
      <c r="J8" s="102"/>
      <c r="K8" s="17"/>
    </row>
    <row r="9" spans="1:11">
      <c r="A9" s="98">
        <v>29</v>
      </c>
      <c r="B9" s="98" t="s">
        <v>106</v>
      </c>
      <c r="C9" s="98">
        <v>4697</v>
      </c>
      <c r="D9" s="98" t="s">
        <v>277</v>
      </c>
      <c r="E9" s="99" t="s">
        <v>222</v>
      </c>
      <c r="F9" s="100">
        <v>50000</v>
      </c>
      <c r="G9" s="101"/>
      <c r="H9" s="98" t="s">
        <v>113</v>
      </c>
      <c r="I9" s="98"/>
      <c r="J9" s="102"/>
      <c r="K9" s="17"/>
    </row>
    <row r="10" spans="1:11">
      <c r="A10" s="98">
        <v>31</v>
      </c>
      <c r="B10" s="98" t="s">
        <v>106</v>
      </c>
      <c r="C10" s="98">
        <v>4768</v>
      </c>
      <c r="D10" s="135">
        <v>45081</v>
      </c>
      <c r="E10" s="99" t="s">
        <v>288</v>
      </c>
      <c r="F10" s="100">
        <v>95000</v>
      </c>
      <c r="G10" s="101">
        <v>640</v>
      </c>
      <c r="H10" s="98" t="s">
        <v>113</v>
      </c>
      <c r="I10" s="98"/>
      <c r="J10" s="102"/>
      <c r="K10" s="17"/>
    </row>
    <row r="11" spans="1:11">
      <c r="A11" s="98">
        <v>33</v>
      </c>
      <c r="B11" s="98" t="s">
        <v>106</v>
      </c>
      <c r="C11" s="98">
        <v>5025</v>
      </c>
      <c r="D11" s="135">
        <v>44991</v>
      </c>
      <c r="E11" s="99" t="s">
        <v>311</v>
      </c>
      <c r="F11" s="100"/>
      <c r="G11" s="101">
        <v>200</v>
      </c>
      <c r="H11" s="98" t="s">
        <v>113</v>
      </c>
      <c r="I11" s="98"/>
      <c r="J11" s="102"/>
      <c r="K11" s="17"/>
    </row>
    <row r="12" spans="1:11">
      <c r="A12" s="98">
        <v>34</v>
      </c>
      <c r="B12" s="98" t="s">
        <v>106</v>
      </c>
      <c r="C12" s="98">
        <v>5052</v>
      </c>
      <c r="D12" s="135">
        <v>45083</v>
      </c>
      <c r="E12" s="99" t="s">
        <v>495</v>
      </c>
      <c r="F12" s="100">
        <v>80000</v>
      </c>
      <c r="G12" s="101"/>
      <c r="H12" s="98" t="s">
        <v>113</v>
      </c>
      <c r="I12" s="98"/>
      <c r="J12" s="102"/>
      <c r="K12" s="17"/>
    </row>
    <row r="13" spans="1:11">
      <c r="A13" s="98">
        <v>41</v>
      </c>
      <c r="B13" s="98" t="s">
        <v>106</v>
      </c>
      <c r="C13" s="98">
        <v>5752</v>
      </c>
      <c r="D13" s="135">
        <v>45149</v>
      </c>
      <c r="E13" s="99" t="s">
        <v>368</v>
      </c>
      <c r="F13" s="100"/>
      <c r="G13" s="101">
        <v>450</v>
      </c>
      <c r="H13" s="98" t="s">
        <v>113</v>
      </c>
      <c r="I13" s="98"/>
      <c r="J13" s="102"/>
      <c r="K13" s="17"/>
    </row>
    <row r="14" spans="1:11" ht="34.799999999999997">
      <c r="A14" s="98">
        <v>42</v>
      </c>
      <c r="B14" s="98" t="s">
        <v>106</v>
      </c>
      <c r="C14" s="98">
        <v>5768</v>
      </c>
      <c r="D14" s="98" t="s">
        <v>370</v>
      </c>
      <c r="E14" s="99" t="s">
        <v>496</v>
      </c>
      <c r="F14" s="100">
        <v>75000</v>
      </c>
      <c r="G14" s="101"/>
      <c r="H14" s="98" t="s">
        <v>113</v>
      </c>
      <c r="I14" s="98"/>
      <c r="J14" s="102"/>
      <c r="K14" s="17"/>
    </row>
    <row r="15" spans="1:11">
      <c r="A15" s="98">
        <v>46</v>
      </c>
      <c r="B15" s="98" t="s">
        <v>106</v>
      </c>
      <c r="C15" s="98">
        <v>6442</v>
      </c>
      <c r="D15" s="98" t="s">
        <v>507</v>
      </c>
      <c r="E15" s="99" t="s">
        <v>311</v>
      </c>
      <c r="F15" s="100">
        <v>350000</v>
      </c>
      <c r="G15" s="101"/>
      <c r="H15" s="98" t="s">
        <v>113</v>
      </c>
      <c r="I15" s="98"/>
      <c r="J15" s="102"/>
      <c r="K15" s="17"/>
    </row>
    <row r="16" spans="1:11">
      <c r="A16" s="98">
        <v>47</v>
      </c>
      <c r="B16" s="98" t="s">
        <v>106</v>
      </c>
      <c r="C16" s="98">
        <v>6474</v>
      </c>
      <c r="D16" s="135">
        <v>45448</v>
      </c>
      <c r="E16" s="99" t="s">
        <v>144</v>
      </c>
      <c r="F16" s="100">
        <v>147500</v>
      </c>
      <c r="G16" s="101"/>
      <c r="H16" s="98" t="s">
        <v>113</v>
      </c>
      <c r="I16" s="98"/>
      <c r="J16" s="102"/>
      <c r="K16" s="17"/>
    </row>
    <row r="17" spans="1:11" ht="87">
      <c r="A17" s="98">
        <v>48</v>
      </c>
      <c r="B17" s="98" t="s">
        <v>106</v>
      </c>
      <c r="C17" s="98">
        <v>6886</v>
      </c>
      <c r="D17" s="135">
        <v>45573</v>
      </c>
      <c r="E17" s="99" t="s">
        <v>569</v>
      </c>
      <c r="F17" s="100">
        <v>206000</v>
      </c>
      <c r="G17" s="101"/>
      <c r="H17" s="98" t="s">
        <v>113</v>
      </c>
      <c r="I17" s="98"/>
      <c r="J17" s="102"/>
      <c r="K17" s="17"/>
    </row>
    <row r="18" spans="1:11" ht="34.799999999999997">
      <c r="A18" s="98">
        <v>49</v>
      </c>
      <c r="B18" s="98" t="s">
        <v>106</v>
      </c>
      <c r="C18" s="98"/>
      <c r="D18" s="135">
        <v>45566</v>
      </c>
      <c r="E18" s="99" t="s">
        <v>586</v>
      </c>
      <c r="F18" s="100">
        <v>30000</v>
      </c>
      <c r="G18" s="101"/>
      <c r="H18" s="98" t="s">
        <v>113</v>
      </c>
      <c r="I18" s="98"/>
      <c r="J18" s="102"/>
      <c r="K18" s="17"/>
    </row>
    <row r="19" spans="1:11" ht="34.799999999999997">
      <c r="A19" s="98">
        <v>50</v>
      </c>
      <c r="B19" s="98" t="s">
        <v>106</v>
      </c>
      <c r="C19" s="98">
        <v>7406</v>
      </c>
      <c r="D19" s="135">
        <v>45627</v>
      </c>
      <c r="E19" s="99" t="s">
        <v>630</v>
      </c>
      <c r="F19" s="100">
        <v>330000</v>
      </c>
      <c r="G19" s="101"/>
      <c r="H19" s="98" t="s">
        <v>631</v>
      </c>
      <c r="I19" s="98"/>
      <c r="J19" s="102"/>
      <c r="K19" s="17"/>
    </row>
    <row r="20" spans="1:11" ht="34.799999999999997">
      <c r="A20" s="98">
        <v>51</v>
      </c>
      <c r="B20" s="98" t="s">
        <v>106</v>
      </c>
      <c r="C20" s="98">
        <v>7412</v>
      </c>
      <c r="D20" s="135">
        <v>45628</v>
      </c>
      <c r="E20" s="99" t="s">
        <v>632</v>
      </c>
      <c r="F20" s="100">
        <v>45000</v>
      </c>
      <c r="G20" s="101"/>
      <c r="H20" s="98" t="s">
        <v>113</v>
      </c>
      <c r="I20" s="98"/>
      <c r="J20" s="102"/>
      <c r="K20" s="17"/>
    </row>
    <row r="21" spans="1:11">
      <c r="A21" s="98">
        <v>52</v>
      </c>
      <c r="B21" s="98" t="s">
        <v>106</v>
      </c>
      <c r="C21" s="98">
        <v>7568</v>
      </c>
      <c r="D21" s="135">
        <v>45645</v>
      </c>
      <c r="E21" s="99" t="s">
        <v>636</v>
      </c>
      <c r="F21" s="100">
        <v>15000</v>
      </c>
      <c r="G21" s="101"/>
      <c r="H21" s="98" t="s">
        <v>113</v>
      </c>
      <c r="I21" s="98"/>
      <c r="J21" s="102"/>
      <c r="K21" s="17"/>
    </row>
    <row r="22" spans="1:11" ht="34.799999999999997">
      <c r="A22" s="98">
        <v>53</v>
      </c>
      <c r="B22" s="98" t="s">
        <v>106</v>
      </c>
      <c r="C22" s="98">
        <v>8157</v>
      </c>
      <c r="D22" s="135">
        <v>45761</v>
      </c>
      <c r="E22" s="99" t="s">
        <v>744</v>
      </c>
      <c r="F22" s="100">
        <v>200000</v>
      </c>
      <c r="G22" s="101"/>
      <c r="H22" s="98" t="s">
        <v>113</v>
      </c>
      <c r="I22" s="98"/>
      <c r="J22" s="102"/>
      <c r="K22" s="17"/>
    </row>
    <row r="23" spans="1:11" ht="52.2">
      <c r="A23" s="98">
        <v>54</v>
      </c>
      <c r="B23" s="98" t="s">
        <v>106</v>
      </c>
      <c r="C23" s="98">
        <v>8810</v>
      </c>
      <c r="D23" s="135">
        <v>45791</v>
      </c>
      <c r="E23" s="99" t="s">
        <v>768</v>
      </c>
      <c r="F23" s="100">
        <v>220000</v>
      </c>
      <c r="G23" s="101"/>
      <c r="H23" s="98" t="s">
        <v>113</v>
      </c>
      <c r="I23" s="98"/>
      <c r="J23" s="102"/>
      <c r="K23" s="17"/>
    </row>
    <row r="24" spans="1:11" ht="34.799999999999997">
      <c r="A24" s="98">
        <v>55</v>
      </c>
      <c r="B24" s="98" t="s">
        <v>106</v>
      </c>
      <c r="C24" s="98">
        <v>9438</v>
      </c>
      <c r="D24" s="135">
        <v>45874</v>
      </c>
      <c r="E24" s="99" t="s">
        <v>992</v>
      </c>
      <c r="F24" s="100">
        <v>140000</v>
      </c>
      <c r="G24" s="101"/>
      <c r="H24" s="98" t="s">
        <v>113</v>
      </c>
      <c r="I24" s="98"/>
      <c r="J24" s="102"/>
      <c r="K24" s="17"/>
    </row>
    <row r="25" spans="1:11" ht="69.599999999999994">
      <c r="A25" s="98">
        <v>56</v>
      </c>
      <c r="B25" s="98" t="s">
        <v>106</v>
      </c>
      <c r="C25" s="98">
        <v>564</v>
      </c>
      <c r="D25" s="135">
        <v>46011</v>
      </c>
      <c r="E25" s="99" t="s">
        <v>1271</v>
      </c>
      <c r="F25" s="100">
        <v>3635000</v>
      </c>
      <c r="G25" s="101"/>
      <c r="H25" s="98" t="s">
        <v>113</v>
      </c>
      <c r="I25" s="98"/>
      <c r="J25" s="102"/>
      <c r="K25" s="17"/>
    </row>
    <row r="26" spans="1:11" ht="69.599999999999994">
      <c r="A26" s="98">
        <v>57</v>
      </c>
      <c r="B26" s="98" t="s">
        <v>106</v>
      </c>
      <c r="C26" s="98">
        <v>1392</v>
      </c>
      <c r="D26" s="135">
        <v>46270</v>
      </c>
      <c r="E26" s="99" t="s">
        <v>1272</v>
      </c>
      <c r="F26" s="100">
        <v>860000</v>
      </c>
      <c r="G26" s="101"/>
      <c r="H26" s="98" t="s">
        <v>723</v>
      </c>
      <c r="I26" s="98"/>
      <c r="J26" s="102"/>
      <c r="K26" s="17"/>
    </row>
    <row r="27" spans="1:11">
      <c r="A27" s="98">
        <v>58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59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60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61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62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63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64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65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103"/>
      <c r="B35" s="206" t="s">
        <v>98</v>
      </c>
      <c r="C35" s="206"/>
      <c r="D35" s="103"/>
      <c r="E35" s="104"/>
      <c r="F35" s="105">
        <f>SUM(F7:F34)</f>
        <v>6548500</v>
      </c>
      <c r="G35" s="106">
        <f>SUM(G7:G34)</f>
        <v>1440</v>
      </c>
      <c r="H35" s="103"/>
      <c r="I35" s="103"/>
      <c r="J35" s="107"/>
      <c r="K35" s="108"/>
    </row>
    <row r="36" spans="1:11">
      <c r="A36" s="109">
        <f ca="1">A36:K54</f>
        <v>0</v>
      </c>
      <c r="B36" s="109"/>
      <c r="C36" s="109"/>
      <c r="D36" s="109"/>
      <c r="E36" s="110"/>
      <c r="F36" s="111"/>
      <c r="G36" s="112"/>
      <c r="H36" s="109"/>
      <c r="I36" s="109"/>
      <c r="J36" s="113"/>
    </row>
    <row r="37" spans="1:11">
      <c r="A37" s="109"/>
      <c r="B37" s="109"/>
      <c r="C37" s="109"/>
      <c r="D37" s="109"/>
      <c r="E37" s="110"/>
      <c r="F37" s="111"/>
      <c r="G37" s="112"/>
      <c r="H37" s="109"/>
      <c r="I37" s="109"/>
      <c r="J37" s="113"/>
    </row>
    <row r="38" spans="1:11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J50" s="115"/>
    </row>
    <row r="51" spans="1:10">
      <c r="J51" s="115"/>
    </row>
    <row r="52" spans="1:10">
      <c r="J52" s="115"/>
    </row>
    <row r="53" spans="1:10">
      <c r="J53" s="115"/>
    </row>
    <row r="54" spans="1:10">
      <c r="J54" s="115"/>
    </row>
    <row r="55" spans="1:10">
      <c r="J55" s="115"/>
    </row>
    <row r="56" spans="1:10">
      <c r="J56" s="115"/>
    </row>
    <row r="57" spans="1:10">
      <c r="J57" s="115"/>
    </row>
    <row r="58" spans="1:10">
      <c r="J58" s="115"/>
    </row>
    <row r="59" spans="1:10">
      <c r="J59" s="115"/>
    </row>
    <row r="60" spans="1:10">
      <c r="J60" s="115"/>
    </row>
    <row r="61" spans="1:10">
      <c r="J61" s="115"/>
    </row>
    <row r="62" spans="1:10">
      <c r="J62" s="115"/>
    </row>
    <row r="63" spans="1:10">
      <c r="J63" s="115"/>
    </row>
    <row r="64" spans="1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0700-000000000000}"/>
  </hyperlinks>
  <pageMargins left="0.7" right="0.7" top="0.75" bottom="0.75" header="0.3" footer="0.3"/>
  <pageSetup paperSize="9" scale="3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K118"/>
  <sheetViews>
    <sheetView rightToLeft="1" view="pageBreakPreview" zoomScale="130" zoomScaleNormal="100" zoomScaleSheetLayoutView="130" workbookViewId="0">
      <selection activeCell="K2" sqref="K2"/>
    </sheetView>
  </sheetViews>
  <sheetFormatPr defaultColWidth="9.109375" defaultRowHeight="17.399999999999999"/>
  <cols>
    <col min="1" max="1" width="3.44140625" style="1" customWidth="1"/>
    <col min="2" max="2" width="12.6640625" style="1" bestFit="1" customWidth="1"/>
    <col min="3" max="3" width="15.21875" style="1" bestFit="1" customWidth="1"/>
    <col min="4" max="4" width="11.5546875" style="1" bestFit="1" customWidth="1"/>
    <col min="5" max="5" width="19.77734375" style="73" bestFit="1" customWidth="1"/>
    <col min="6" max="6" width="15.109375" style="114" bestFit="1" customWidth="1"/>
    <col min="7" max="7" width="6.21875" style="79" bestFit="1" customWidth="1"/>
    <col min="8" max="8" width="13.44140625" style="1" bestFit="1" customWidth="1"/>
    <col min="9" max="9" width="10.21875" style="1" bestFit="1" customWidth="1"/>
    <col min="10" max="10" width="8.886718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</v>
      </c>
      <c r="B2" s="202" t="s">
        <v>64</v>
      </c>
      <c r="C2" s="203"/>
      <c r="D2" s="85"/>
      <c r="E2" s="86" t="s">
        <v>8</v>
      </c>
      <c r="F2" s="87">
        <v>2009</v>
      </c>
      <c r="G2" s="88"/>
      <c r="H2" s="89" t="s">
        <v>100</v>
      </c>
      <c r="I2" s="89" t="s">
        <v>106</v>
      </c>
      <c r="J2" s="81"/>
      <c r="K2" s="90" t="s">
        <v>102</v>
      </c>
    </row>
    <row r="3" spans="1:11">
      <c r="A3" s="35"/>
      <c r="B3" s="89" t="s">
        <v>99</v>
      </c>
      <c r="C3" s="123" t="s">
        <v>830</v>
      </c>
      <c r="D3" s="89"/>
      <c r="E3" s="86" t="s">
        <v>68</v>
      </c>
      <c r="F3" s="91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 t="s">
        <v>95</v>
      </c>
      <c r="F5" s="142"/>
      <c r="G5" s="92"/>
      <c r="H5" s="81" t="s">
        <v>96</v>
      </c>
      <c r="I5" s="117">
        <f>MAX(J7:J141)</f>
        <v>178000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25</v>
      </c>
      <c r="B7" s="98" t="s">
        <v>106</v>
      </c>
      <c r="C7" s="98">
        <v>4342</v>
      </c>
      <c r="D7" s="135" t="s">
        <v>221</v>
      </c>
      <c r="E7" s="99" t="s">
        <v>134</v>
      </c>
      <c r="F7" s="100">
        <v>25000</v>
      </c>
      <c r="G7" s="101"/>
      <c r="H7" s="98" t="s">
        <v>143</v>
      </c>
      <c r="I7" s="98"/>
      <c r="J7" s="102"/>
      <c r="K7" s="17"/>
    </row>
    <row r="8" spans="1:11">
      <c r="A8" s="98">
        <v>29</v>
      </c>
      <c r="B8" s="98" t="s">
        <v>106</v>
      </c>
      <c r="C8" s="98" t="s">
        <v>362</v>
      </c>
      <c r="D8" s="135">
        <v>45088</v>
      </c>
      <c r="E8" s="99" t="s">
        <v>363</v>
      </c>
      <c r="F8" s="100">
        <v>881000</v>
      </c>
      <c r="G8" s="101"/>
      <c r="H8" s="98" t="s">
        <v>143</v>
      </c>
      <c r="I8" s="98"/>
      <c r="J8" s="102"/>
      <c r="K8" s="17"/>
    </row>
    <row r="9" spans="1:11">
      <c r="A9" s="98">
        <v>30</v>
      </c>
      <c r="B9" s="98" t="s">
        <v>106</v>
      </c>
      <c r="C9" s="98" t="s">
        <v>416</v>
      </c>
      <c r="D9" s="135">
        <v>45414</v>
      </c>
      <c r="E9" s="99" t="s">
        <v>135</v>
      </c>
      <c r="F9" s="100">
        <v>250000</v>
      </c>
      <c r="G9" s="101"/>
      <c r="H9" s="98" t="s">
        <v>143</v>
      </c>
      <c r="I9" s="98"/>
      <c r="J9" s="102"/>
      <c r="K9" s="17"/>
    </row>
    <row r="10" spans="1:11">
      <c r="A10" s="98">
        <v>46</v>
      </c>
      <c r="B10" s="98" t="s">
        <v>106</v>
      </c>
      <c r="C10" s="98">
        <v>6442</v>
      </c>
      <c r="D10" s="98" t="s">
        <v>507</v>
      </c>
      <c r="E10" s="99" t="s">
        <v>508</v>
      </c>
      <c r="F10" s="100">
        <v>50000</v>
      </c>
      <c r="G10" s="101"/>
      <c r="H10" s="98" t="s">
        <v>113</v>
      </c>
      <c r="I10" s="98"/>
      <c r="J10" s="102"/>
      <c r="K10" s="17"/>
    </row>
    <row r="11" spans="1:11" ht="34.799999999999997">
      <c r="A11" s="98">
        <v>32</v>
      </c>
      <c r="B11" s="98" t="s">
        <v>106</v>
      </c>
      <c r="C11" s="98">
        <v>6421</v>
      </c>
      <c r="D11" s="98" t="s">
        <v>509</v>
      </c>
      <c r="E11" s="99" t="s">
        <v>510</v>
      </c>
      <c r="F11" s="100">
        <v>50000</v>
      </c>
      <c r="G11" s="101"/>
      <c r="H11" s="98" t="s">
        <v>113</v>
      </c>
      <c r="I11" s="98"/>
      <c r="J11" s="102"/>
      <c r="K11" s="17"/>
    </row>
    <row r="12" spans="1:11">
      <c r="A12" s="98">
        <v>33</v>
      </c>
      <c r="B12" s="98" t="s">
        <v>106</v>
      </c>
      <c r="C12" s="98">
        <v>6528</v>
      </c>
      <c r="D12" s="98" t="s">
        <v>526</v>
      </c>
      <c r="E12" s="99" t="s">
        <v>527</v>
      </c>
      <c r="F12" s="100">
        <v>175000</v>
      </c>
      <c r="G12" s="101"/>
      <c r="H12" s="98" t="s">
        <v>113</v>
      </c>
      <c r="I12" s="98"/>
      <c r="J12" s="102"/>
      <c r="K12" s="17"/>
    </row>
    <row r="13" spans="1:11">
      <c r="A13" s="98">
        <v>34</v>
      </c>
      <c r="B13" s="98" t="s">
        <v>106</v>
      </c>
      <c r="C13" s="98">
        <v>6907</v>
      </c>
      <c r="D13" s="98" t="s">
        <v>570</v>
      </c>
      <c r="E13" s="99" t="s">
        <v>571</v>
      </c>
      <c r="F13" s="100">
        <v>90000</v>
      </c>
      <c r="G13" s="101"/>
      <c r="H13" s="98" t="s">
        <v>113</v>
      </c>
      <c r="I13" s="98"/>
      <c r="J13" s="102"/>
      <c r="K13" s="17"/>
    </row>
    <row r="14" spans="1:11">
      <c r="A14" s="98">
        <v>35</v>
      </c>
      <c r="B14" s="98" t="s">
        <v>106</v>
      </c>
      <c r="C14" s="98">
        <v>7043</v>
      </c>
      <c r="D14" s="135">
        <v>45553</v>
      </c>
      <c r="E14" s="99" t="s">
        <v>575</v>
      </c>
      <c r="F14" s="100">
        <v>230000</v>
      </c>
      <c r="G14" s="101"/>
      <c r="H14" s="98" t="s">
        <v>105</v>
      </c>
      <c r="I14" s="98"/>
      <c r="J14" s="102"/>
      <c r="K14" s="17"/>
    </row>
    <row r="15" spans="1:11" ht="34.799999999999997">
      <c r="A15" s="98">
        <v>36</v>
      </c>
      <c r="B15" s="98" t="s">
        <v>106</v>
      </c>
      <c r="C15" s="98"/>
      <c r="D15" s="135">
        <v>45574</v>
      </c>
      <c r="E15" s="99" t="s">
        <v>587</v>
      </c>
      <c r="F15" s="100">
        <v>85000</v>
      </c>
      <c r="G15" s="101"/>
      <c r="H15" s="98" t="s">
        <v>113</v>
      </c>
      <c r="I15" s="98"/>
      <c r="J15" s="102"/>
      <c r="K15" s="17"/>
    </row>
    <row r="16" spans="1:11">
      <c r="A16" s="98">
        <v>37</v>
      </c>
      <c r="B16" s="98" t="s">
        <v>106</v>
      </c>
      <c r="C16" s="98">
        <v>8122</v>
      </c>
      <c r="D16" s="135">
        <v>45754</v>
      </c>
      <c r="E16" s="99" t="s">
        <v>741</v>
      </c>
      <c r="F16" s="100">
        <v>52000</v>
      </c>
      <c r="G16" s="101"/>
      <c r="H16" s="98" t="s">
        <v>723</v>
      </c>
      <c r="I16" s="98"/>
      <c r="J16" s="102"/>
      <c r="K16" s="17"/>
    </row>
    <row r="17" spans="1:11" ht="34.799999999999997">
      <c r="A17" s="98">
        <v>38</v>
      </c>
      <c r="B17" s="98" t="s">
        <v>106</v>
      </c>
      <c r="C17" s="98">
        <v>8135</v>
      </c>
      <c r="D17" s="135">
        <v>45756</v>
      </c>
      <c r="E17" s="99" t="s">
        <v>742</v>
      </c>
      <c r="F17" s="100">
        <v>150000</v>
      </c>
      <c r="G17" s="101"/>
      <c r="H17" s="98" t="s">
        <v>113</v>
      </c>
      <c r="I17" s="98"/>
      <c r="J17" s="102"/>
      <c r="K17" s="17"/>
    </row>
    <row r="18" spans="1:11">
      <c r="A18" s="98">
        <v>39</v>
      </c>
      <c r="B18" s="98" t="s">
        <v>106</v>
      </c>
      <c r="C18" s="98">
        <v>8794</v>
      </c>
      <c r="D18" s="135">
        <v>45789</v>
      </c>
      <c r="E18" s="99" t="s">
        <v>767</v>
      </c>
      <c r="F18" s="100">
        <v>65000</v>
      </c>
      <c r="G18" s="101"/>
      <c r="H18" s="98" t="s">
        <v>723</v>
      </c>
      <c r="I18" s="98"/>
      <c r="J18" s="102"/>
      <c r="K18" s="17"/>
    </row>
    <row r="19" spans="1:11" ht="34.799999999999997">
      <c r="A19" s="98">
        <v>40</v>
      </c>
      <c r="B19" s="17" t="s">
        <v>106</v>
      </c>
      <c r="C19" s="17">
        <v>8857</v>
      </c>
      <c r="D19" s="130">
        <v>45798</v>
      </c>
      <c r="E19" s="18" t="s">
        <v>769</v>
      </c>
      <c r="F19" s="132">
        <v>135000</v>
      </c>
      <c r="G19" s="25"/>
      <c r="H19" s="17" t="s">
        <v>723</v>
      </c>
      <c r="I19" s="98"/>
      <c r="J19" s="102"/>
      <c r="K19" s="17"/>
    </row>
    <row r="20" spans="1:11">
      <c r="A20" s="98">
        <v>41</v>
      </c>
      <c r="B20" s="98" t="s">
        <v>106</v>
      </c>
      <c r="C20" s="98">
        <v>9357</v>
      </c>
      <c r="D20" s="135">
        <v>45864</v>
      </c>
      <c r="E20" s="99" t="s">
        <v>532</v>
      </c>
      <c r="F20" s="100">
        <v>57000</v>
      </c>
      <c r="G20" s="101"/>
      <c r="H20" s="98" t="s">
        <v>723</v>
      </c>
      <c r="I20" s="98"/>
      <c r="J20" s="102"/>
      <c r="K20" s="17"/>
    </row>
    <row r="21" spans="1:11">
      <c r="A21" s="98">
        <v>42</v>
      </c>
      <c r="B21" s="98" t="s">
        <v>106</v>
      </c>
      <c r="C21" s="98">
        <v>9382</v>
      </c>
      <c r="D21" s="135">
        <v>45866</v>
      </c>
      <c r="E21" s="99" t="s">
        <v>145</v>
      </c>
      <c r="F21" s="100">
        <v>106000</v>
      </c>
      <c r="G21" s="101"/>
      <c r="H21" s="98" t="s">
        <v>723</v>
      </c>
      <c r="I21" s="98"/>
      <c r="J21" s="102"/>
      <c r="K21" s="17"/>
    </row>
    <row r="22" spans="1:11" ht="34.799999999999997">
      <c r="A22" s="98">
        <v>43</v>
      </c>
      <c r="B22" s="17" t="s">
        <v>106</v>
      </c>
      <c r="C22" s="17">
        <v>9740</v>
      </c>
      <c r="D22" s="130">
        <v>45913</v>
      </c>
      <c r="E22" s="18" t="s">
        <v>1033</v>
      </c>
      <c r="F22" s="132">
        <v>237250</v>
      </c>
      <c r="G22" s="25"/>
      <c r="H22" s="17" t="s">
        <v>1034</v>
      </c>
      <c r="I22" s="17"/>
      <c r="J22" s="117"/>
      <c r="K22" s="17"/>
    </row>
    <row r="23" spans="1:11" ht="87">
      <c r="A23" s="98">
        <v>44</v>
      </c>
      <c r="B23" s="17" t="s">
        <v>106</v>
      </c>
      <c r="C23" s="17">
        <v>9889</v>
      </c>
      <c r="D23" s="130">
        <v>45928</v>
      </c>
      <c r="E23" s="18" t="s">
        <v>1036</v>
      </c>
      <c r="F23" s="132">
        <v>2100000</v>
      </c>
      <c r="G23" s="25"/>
      <c r="H23" s="17" t="s">
        <v>1034</v>
      </c>
      <c r="I23" s="98"/>
      <c r="J23" s="102"/>
      <c r="K23" s="17"/>
    </row>
    <row r="24" spans="1:11">
      <c r="A24" s="98">
        <v>45</v>
      </c>
      <c r="B24" s="98"/>
      <c r="C24" s="18">
        <v>222</v>
      </c>
      <c r="D24" s="133">
        <v>45668</v>
      </c>
      <c r="E24" s="18" t="s">
        <v>670</v>
      </c>
      <c r="F24" s="134">
        <v>75000</v>
      </c>
      <c r="G24" s="116"/>
      <c r="H24" s="17" t="s">
        <v>723</v>
      </c>
      <c r="I24" s="17"/>
      <c r="J24" s="117">
        <v>178000</v>
      </c>
      <c r="K24" s="17"/>
    </row>
    <row r="25" spans="1:11">
      <c r="A25" s="98">
        <v>46</v>
      </c>
      <c r="B25" s="98"/>
      <c r="C25" s="98">
        <v>770</v>
      </c>
      <c r="D25" s="98" t="s">
        <v>1152</v>
      </c>
      <c r="E25" s="99" t="s">
        <v>568</v>
      </c>
      <c r="F25" s="100">
        <v>35000</v>
      </c>
      <c r="G25" s="101"/>
      <c r="H25" s="98" t="s">
        <v>723</v>
      </c>
      <c r="I25" s="98"/>
      <c r="J25" s="102"/>
      <c r="K25" s="17"/>
    </row>
    <row r="26" spans="1:11">
      <c r="A26" s="98">
        <v>47</v>
      </c>
      <c r="B26" s="17"/>
      <c r="C26" s="17">
        <v>1405</v>
      </c>
      <c r="D26" s="17" t="s">
        <v>1283</v>
      </c>
      <c r="E26" s="18" t="s">
        <v>1284</v>
      </c>
      <c r="F26" s="132">
        <v>40000</v>
      </c>
      <c r="G26" s="25"/>
      <c r="H26" s="17" t="s">
        <v>723</v>
      </c>
      <c r="I26" s="17"/>
      <c r="J26" s="17"/>
      <c r="K26" s="17"/>
    </row>
    <row r="27" spans="1:11">
      <c r="A27" s="98">
        <v>48</v>
      </c>
      <c r="B27" s="17"/>
      <c r="C27" s="17"/>
      <c r="D27" s="17"/>
      <c r="E27" s="18"/>
      <c r="F27" s="132"/>
      <c r="G27" s="25"/>
      <c r="H27" s="17"/>
      <c r="I27" s="17"/>
      <c r="J27" s="17"/>
      <c r="K27" s="17"/>
    </row>
    <row r="28" spans="1:11">
      <c r="A28" s="98">
        <v>49</v>
      </c>
      <c r="B28" s="17"/>
      <c r="C28" s="17"/>
      <c r="D28" s="17"/>
      <c r="E28" s="18"/>
      <c r="F28" s="132"/>
      <c r="G28" s="25"/>
      <c r="H28" s="17"/>
      <c r="I28" s="17"/>
      <c r="J28" s="17"/>
      <c r="K28" s="17"/>
    </row>
    <row r="29" spans="1:11">
      <c r="A29" s="98">
        <v>50</v>
      </c>
      <c r="B29" s="17"/>
      <c r="C29" s="17"/>
      <c r="D29" s="17"/>
      <c r="E29" s="18"/>
      <c r="F29" s="132"/>
      <c r="G29" s="25"/>
      <c r="H29" s="17"/>
      <c r="I29" s="17"/>
      <c r="J29" s="17"/>
      <c r="K29" s="17"/>
    </row>
    <row r="30" spans="1:11">
      <c r="A30" s="98">
        <v>51</v>
      </c>
      <c r="B30" s="17"/>
      <c r="C30" s="17"/>
      <c r="D30" s="17"/>
      <c r="E30" s="18"/>
      <c r="F30" s="132"/>
      <c r="G30" s="25"/>
      <c r="H30" s="17"/>
      <c r="I30" s="17"/>
      <c r="J30" s="17"/>
      <c r="K30" s="17"/>
    </row>
    <row r="31" spans="1:11">
      <c r="A31" s="98">
        <v>52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53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54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55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56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57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58</v>
      </c>
      <c r="B37" s="98"/>
      <c r="C37" s="98"/>
      <c r="D37" s="98"/>
      <c r="E37" s="99"/>
      <c r="F37" s="100"/>
      <c r="G37" s="101"/>
      <c r="H37" s="98"/>
      <c r="I37" s="98"/>
      <c r="J37" s="102"/>
      <c r="K37" s="17"/>
    </row>
    <row r="38" spans="1:11">
      <c r="A38" s="98">
        <v>59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98">
        <v>60</v>
      </c>
      <c r="B39" s="98"/>
      <c r="C39" s="98"/>
      <c r="D39" s="98"/>
      <c r="E39" s="99"/>
      <c r="F39" s="100"/>
      <c r="G39" s="101"/>
      <c r="H39" s="98"/>
      <c r="I39" s="98"/>
      <c r="J39" s="102"/>
      <c r="K39" s="17"/>
    </row>
    <row r="40" spans="1:11">
      <c r="A40" s="98">
        <v>61</v>
      </c>
      <c r="B40" s="98"/>
      <c r="C40" s="98"/>
      <c r="D40" s="98"/>
      <c r="E40" s="99"/>
      <c r="F40" s="100"/>
      <c r="G40" s="101"/>
      <c r="H40" s="98"/>
      <c r="I40" s="98"/>
      <c r="J40" s="102"/>
      <c r="K40" s="17"/>
    </row>
    <row r="41" spans="1:11">
      <c r="A41" s="98">
        <v>62</v>
      </c>
      <c r="B41" s="98"/>
      <c r="C41" s="98"/>
      <c r="D41" s="98"/>
      <c r="E41" s="99"/>
      <c r="F41" s="100"/>
      <c r="G41" s="101"/>
      <c r="H41" s="98"/>
      <c r="I41" s="98"/>
      <c r="J41" s="102"/>
      <c r="K41" s="17"/>
    </row>
    <row r="42" spans="1:11">
      <c r="A42" s="98">
        <v>63</v>
      </c>
      <c r="B42" s="98"/>
      <c r="C42" s="98"/>
      <c r="D42" s="98"/>
      <c r="E42" s="99"/>
      <c r="F42" s="100"/>
      <c r="G42" s="101"/>
      <c r="H42" s="98"/>
      <c r="I42" s="98"/>
      <c r="J42" s="102"/>
      <c r="K42" s="17"/>
    </row>
    <row r="43" spans="1:11">
      <c r="A43" s="103"/>
      <c r="B43" s="206" t="s">
        <v>98</v>
      </c>
      <c r="C43" s="206"/>
      <c r="D43" s="103"/>
      <c r="E43" s="104"/>
      <c r="F43" s="105">
        <f>SUM(F7:F42)</f>
        <v>4888250</v>
      </c>
      <c r="G43" s="106">
        <f>SUM(G7:G42)</f>
        <v>0</v>
      </c>
      <c r="H43" s="103"/>
      <c r="I43" s="103"/>
      <c r="J43" s="107"/>
      <c r="K43" s="108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J61" s="115"/>
    </row>
    <row r="62" spans="1:10">
      <c r="J62" s="115"/>
    </row>
    <row r="63" spans="1:10">
      <c r="J63" s="115"/>
    </row>
    <row r="64" spans="1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43:C43"/>
  </mergeCells>
  <hyperlinks>
    <hyperlink ref="K2" location="الاليات!A1" display="الاليات " xr:uid="{00000000-0004-0000-0800-000000000000}"/>
  </hyperlinks>
  <pageMargins left="0.7" right="0.7" top="0.75" bottom="0.75" header="0.3" footer="0.3"/>
  <pageSetup paperSize="9" scale="5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K118"/>
  <sheetViews>
    <sheetView rightToLeft="1" topLeftCell="A19" zoomScale="120" zoomScaleNormal="120" workbookViewId="0">
      <selection activeCell="J27" sqref="J27"/>
    </sheetView>
  </sheetViews>
  <sheetFormatPr defaultColWidth="9.109375" defaultRowHeight="17.399999999999999"/>
  <cols>
    <col min="1" max="1" width="3.44140625" style="1" bestFit="1" customWidth="1"/>
    <col min="2" max="2" width="11" style="1" bestFit="1" customWidth="1"/>
    <col min="3" max="3" width="16.21875" style="1" bestFit="1" customWidth="1"/>
    <col min="4" max="4" width="12.77734375" style="1" bestFit="1" customWidth="1"/>
    <col min="5" max="5" width="19.5546875" style="73" bestFit="1" customWidth="1"/>
    <col min="6" max="6" width="15.109375" style="114" bestFit="1" customWidth="1"/>
    <col min="7" max="7" width="6.21875" style="79" bestFit="1" customWidth="1"/>
    <col min="8" max="8" width="13.5546875" style="1" bestFit="1" customWidth="1"/>
    <col min="9" max="9" width="10.88671875" style="1" bestFit="1" customWidth="1"/>
    <col min="10" max="10" width="7.6640625" style="1" bestFit="1" customWidth="1"/>
    <col min="11" max="11" width="9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4</v>
      </c>
      <c r="B2" s="202" t="s">
        <v>828</v>
      </c>
      <c r="C2" s="203"/>
      <c r="D2" s="85"/>
      <c r="E2" s="86" t="s">
        <v>8</v>
      </c>
      <c r="F2" s="87">
        <v>2022</v>
      </c>
      <c r="G2" s="88"/>
      <c r="H2" s="89" t="s">
        <v>100</v>
      </c>
      <c r="I2" s="35" t="s">
        <v>106</v>
      </c>
      <c r="J2" s="81"/>
      <c r="K2" s="90" t="s">
        <v>102</v>
      </c>
    </row>
    <row r="3" spans="1:11">
      <c r="A3" s="35"/>
      <c r="B3" s="89" t="s">
        <v>99</v>
      </c>
      <c r="C3" s="123" t="s">
        <v>829</v>
      </c>
      <c r="D3" s="89"/>
      <c r="E3" s="86" t="s">
        <v>68</v>
      </c>
      <c r="F3" s="140" t="s">
        <v>200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 t="s">
        <v>95</v>
      </c>
      <c r="F5" s="142">
        <f>J26</f>
        <v>28000</v>
      </c>
      <c r="G5" s="92"/>
      <c r="H5" s="81" t="s">
        <v>96</v>
      </c>
      <c r="I5" s="117">
        <f>MAX(J7:J141)</f>
        <v>34000</v>
      </c>
      <c r="J5" s="81"/>
      <c r="K5" s="17"/>
    </row>
    <row r="6" spans="1:11" ht="52.2">
      <c r="A6" s="94" t="s">
        <v>9</v>
      </c>
      <c r="B6" s="94" t="s">
        <v>827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17">
        <v>1</v>
      </c>
      <c r="B7" s="17" t="s">
        <v>106</v>
      </c>
      <c r="C7" s="18">
        <v>4707</v>
      </c>
      <c r="D7" s="133" t="s">
        <v>279</v>
      </c>
      <c r="E7" s="18" t="s">
        <v>280</v>
      </c>
      <c r="F7" s="134">
        <v>100000</v>
      </c>
      <c r="G7" s="25"/>
      <c r="H7" s="17" t="s">
        <v>113</v>
      </c>
      <c r="I7" s="17"/>
      <c r="J7" s="117"/>
      <c r="K7" s="17"/>
    </row>
    <row r="8" spans="1:11">
      <c r="A8" s="17">
        <v>2</v>
      </c>
      <c r="B8" s="17" t="s">
        <v>106</v>
      </c>
      <c r="C8" s="18">
        <v>4722</v>
      </c>
      <c r="D8" s="18" t="s">
        <v>281</v>
      </c>
      <c r="E8" s="18" t="s">
        <v>282</v>
      </c>
      <c r="F8" s="134">
        <v>1408000</v>
      </c>
      <c r="G8" s="25"/>
      <c r="H8" s="17" t="s">
        <v>113</v>
      </c>
      <c r="I8" s="17"/>
      <c r="J8" s="117"/>
      <c r="K8" s="17"/>
    </row>
    <row r="9" spans="1:11" ht="34.799999999999997">
      <c r="A9" s="17">
        <v>3</v>
      </c>
      <c r="B9" s="17" t="s">
        <v>106</v>
      </c>
      <c r="C9" s="17">
        <v>5307</v>
      </c>
      <c r="D9" s="17" t="s">
        <v>332</v>
      </c>
      <c r="E9" s="18" t="s">
        <v>193</v>
      </c>
      <c r="F9" s="132">
        <v>190000</v>
      </c>
      <c r="G9" s="25"/>
      <c r="H9" s="17" t="s">
        <v>103</v>
      </c>
      <c r="I9" s="17"/>
      <c r="J9" s="117"/>
      <c r="K9" s="17"/>
    </row>
    <row r="10" spans="1:11">
      <c r="A10" s="17">
        <v>4</v>
      </c>
      <c r="B10" s="17" t="s">
        <v>106</v>
      </c>
      <c r="C10" s="17">
        <v>5674</v>
      </c>
      <c r="D10" s="17" t="s">
        <v>360</v>
      </c>
      <c r="E10" s="18" t="s">
        <v>220</v>
      </c>
      <c r="F10" s="132">
        <v>50000</v>
      </c>
      <c r="G10" s="25"/>
      <c r="H10" s="17" t="s">
        <v>113</v>
      </c>
      <c r="I10" s="17"/>
      <c r="J10" s="117"/>
      <c r="K10" s="17"/>
    </row>
    <row r="11" spans="1:11">
      <c r="A11" s="17">
        <v>5</v>
      </c>
      <c r="B11" s="17" t="s">
        <v>106</v>
      </c>
      <c r="C11" s="17">
        <v>5736</v>
      </c>
      <c r="D11" s="130">
        <v>45027</v>
      </c>
      <c r="E11" s="18" t="s">
        <v>301</v>
      </c>
      <c r="F11" s="132">
        <v>60000</v>
      </c>
      <c r="G11" s="25"/>
      <c r="H11" s="17" t="s">
        <v>113</v>
      </c>
      <c r="I11" s="17"/>
      <c r="J11" s="117"/>
      <c r="K11" s="17"/>
    </row>
    <row r="12" spans="1:11">
      <c r="A12" s="17">
        <v>6</v>
      </c>
      <c r="B12" s="17" t="s">
        <v>106</v>
      </c>
      <c r="C12" s="17">
        <v>5741</v>
      </c>
      <c r="D12" s="130">
        <v>45057</v>
      </c>
      <c r="E12" s="18" t="s">
        <v>301</v>
      </c>
      <c r="F12" s="132">
        <v>75000</v>
      </c>
      <c r="G12" s="25"/>
      <c r="H12" s="17" t="s">
        <v>113</v>
      </c>
      <c r="I12" s="17"/>
      <c r="J12" s="117"/>
      <c r="K12" s="17"/>
    </row>
    <row r="13" spans="1:11">
      <c r="A13" s="17">
        <v>7</v>
      </c>
      <c r="B13" s="17" t="s">
        <v>106</v>
      </c>
      <c r="C13" s="17">
        <v>5771</v>
      </c>
      <c r="D13" s="17" t="s">
        <v>371</v>
      </c>
      <c r="E13" s="18" t="s">
        <v>220</v>
      </c>
      <c r="F13" s="132">
        <v>36000</v>
      </c>
      <c r="G13" s="25"/>
      <c r="H13" s="17" t="s">
        <v>133</v>
      </c>
      <c r="I13" s="17"/>
      <c r="J13" s="117"/>
      <c r="K13" s="17"/>
    </row>
    <row r="14" spans="1:11">
      <c r="A14" s="17">
        <v>8</v>
      </c>
      <c r="B14" s="17" t="s">
        <v>106</v>
      </c>
      <c r="C14" s="17">
        <v>5829</v>
      </c>
      <c r="D14" s="17" t="s">
        <v>382</v>
      </c>
      <c r="E14" s="18" t="s">
        <v>220</v>
      </c>
      <c r="F14" s="132">
        <v>66000</v>
      </c>
      <c r="G14" s="25"/>
      <c r="H14" s="17" t="s">
        <v>113</v>
      </c>
      <c r="I14" s="17"/>
      <c r="J14" s="117"/>
      <c r="K14" s="17"/>
    </row>
    <row r="15" spans="1:11">
      <c r="A15" s="17">
        <v>9</v>
      </c>
      <c r="B15" s="17" t="s">
        <v>106</v>
      </c>
      <c r="C15" s="17">
        <v>5895</v>
      </c>
      <c r="D15" s="130">
        <v>45272</v>
      </c>
      <c r="E15" s="18" t="s">
        <v>220</v>
      </c>
      <c r="F15" s="132">
        <v>65000</v>
      </c>
      <c r="G15" s="25"/>
      <c r="H15" s="17" t="s">
        <v>113</v>
      </c>
      <c r="I15" s="17"/>
      <c r="J15" s="117"/>
      <c r="K15" s="17"/>
    </row>
    <row r="16" spans="1:11">
      <c r="A16" s="17">
        <v>10</v>
      </c>
      <c r="B16" s="17" t="s">
        <v>106</v>
      </c>
      <c r="C16" s="17">
        <v>5933</v>
      </c>
      <c r="D16" s="17" t="s">
        <v>394</v>
      </c>
      <c r="E16" s="18" t="s">
        <v>220</v>
      </c>
      <c r="F16" s="132">
        <v>60000</v>
      </c>
      <c r="G16" s="25"/>
      <c r="H16" s="17" t="s">
        <v>113</v>
      </c>
      <c r="I16" s="17"/>
      <c r="J16" s="117"/>
      <c r="K16" s="17"/>
    </row>
    <row r="17" spans="1:11">
      <c r="A17" s="17">
        <v>11</v>
      </c>
      <c r="B17" s="17" t="s">
        <v>106</v>
      </c>
      <c r="C17" s="17">
        <v>6001</v>
      </c>
      <c r="D17" s="130">
        <v>45323</v>
      </c>
      <c r="E17" s="18" t="s">
        <v>397</v>
      </c>
      <c r="F17" s="132">
        <v>68000</v>
      </c>
      <c r="G17" s="25"/>
      <c r="H17" s="17" t="s">
        <v>133</v>
      </c>
      <c r="I17" s="17"/>
      <c r="J17" s="117"/>
      <c r="K17" s="17"/>
    </row>
    <row r="18" spans="1:11">
      <c r="A18" s="17">
        <v>12</v>
      </c>
      <c r="B18" s="17" t="s">
        <v>106</v>
      </c>
      <c r="C18" s="17">
        <v>6116</v>
      </c>
      <c r="D18" s="17" t="s">
        <v>407</v>
      </c>
      <c r="E18" s="18" t="s">
        <v>408</v>
      </c>
      <c r="F18" s="132">
        <v>25000</v>
      </c>
      <c r="G18" s="25"/>
      <c r="H18" s="17" t="s">
        <v>113</v>
      </c>
      <c r="I18" s="17"/>
      <c r="J18" s="117"/>
      <c r="K18" s="17"/>
    </row>
    <row r="19" spans="1:11">
      <c r="A19" s="17">
        <v>13</v>
      </c>
      <c r="B19" s="17" t="s">
        <v>106</v>
      </c>
      <c r="C19" s="17">
        <v>6119</v>
      </c>
      <c r="D19" s="17" t="s">
        <v>409</v>
      </c>
      <c r="E19" s="18" t="s">
        <v>220</v>
      </c>
      <c r="F19" s="132">
        <v>75000</v>
      </c>
      <c r="G19" s="25"/>
      <c r="H19" s="17" t="s">
        <v>103</v>
      </c>
      <c r="I19" s="17"/>
      <c r="J19" s="117"/>
      <c r="K19" s="17"/>
    </row>
    <row r="20" spans="1:11">
      <c r="A20" s="17">
        <v>14</v>
      </c>
      <c r="B20" s="17" t="s">
        <v>106</v>
      </c>
      <c r="C20" s="17">
        <v>6126</v>
      </c>
      <c r="D20" s="17" t="s">
        <v>410</v>
      </c>
      <c r="E20" s="18" t="s">
        <v>411</v>
      </c>
      <c r="F20" s="132">
        <v>50000</v>
      </c>
      <c r="G20" s="25"/>
      <c r="H20" s="17" t="s">
        <v>105</v>
      </c>
      <c r="I20" s="17"/>
      <c r="J20" s="117"/>
      <c r="K20" s="17"/>
    </row>
    <row r="21" spans="1:11">
      <c r="A21" s="17">
        <v>15</v>
      </c>
      <c r="B21" s="17" t="s">
        <v>106</v>
      </c>
      <c r="C21" s="17">
        <v>6152</v>
      </c>
      <c r="D21" s="17" t="s">
        <v>412</v>
      </c>
      <c r="E21" s="18" t="s">
        <v>220</v>
      </c>
      <c r="F21" s="132">
        <v>50000</v>
      </c>
      <c r="G21" s="25"/>
      <c r="H21" s="17" t="s">
        <v>113</v>
      </c>
      <c r="I21" s="17"/>
      <c r="J21" s="117"/>
      <c r="K21" s="17"/>
    </row>
    <row r="22" spans="1:11">
      <c r="A22" s="17">
        <v>16</v>
      </c>
      <c r="B22" s="17" t="s">
        <v>106</v>
      </c>
      <c r="C22" s="17">
        <v>6194</v>
      </c>
      <c r="D22" s="130">
        <v>45567</v>
      </c>
      <c r="E22" s="18" t="s">
        <v>220</v>
      </c>
      <c r="F22" s="132">
        <v>60000</v>
      </c>
      <c r="G22" s="25"/>
      <c r="H22" s="17" t="s">
        <v>113</v>
      </c>
      <c r="I22" s="17"/>
      <c r="J22" s="117"/>
      <c r="K22" s="17"/>
    </row>
    <row r="23" spans="1:11">
      <c r="A23" s="17">
        <v>17</v>
      </c>
      <c r="B23" s="17" t="s">
        <v>106</v>
      </c>
      <c r="C23" s="17">
        <v>6331</v>
      </c>
      <c r="D23" s="17" t="s">
        <v>423</v>
      </c>
      <c r="E23" s="18" t="s">
        <v>220</v>
      </c>
      <c r="F23" s="132">
        <v>74000</v>
      </c>
      <c r="G23" s="25"/>
      <c r="H23" s="17" t="s">
        <v>104</v>
      </c>
      <c r="I23" s="17"/>
      <c r="J23" s="117"/>
      <c r="K23" s="17"/>
    </row>
    <row r="24" spans="1:11">
      <c r="A24" s="17">
        <v>18</v>
      </c>
      <c r="B24" s="17" t="s">
        <v>106</v>
      </c>
      <c r="C24" s="17">
        <v>6817</v>
      </c>
      <c r="D24" s="17" t="s">
        <v>567</v>
      </c>
      <c r="E24" s="18" t="s">
        <v>568</v>
      </c>
      <c r="F24" s="132">
        <v>10000</v>
      </c>
      <c r="G24" s="25"/>
      <c r="H24" s="17" t="s">
        <v>113</v>
      </c>
      <c r="I24" s="17"/>
      <c r="J24" s="117"/>
      <c r="K24" s="17"/>
    </row>
    <row r="25" spans="1:11">
      <c r="A25" s="17">
        <v>19</v>
      </c>
      <c r="B25" s="17" t="s">
        <v>106</v>
      </c>
      <c r="C25" s="17">
        <v>7262</v>
      </c>
      <c r="D25" s="130">
        <v>45598</v>
      </c>
      <c r="E25" s="18" t="s">
        <v>600</v>
      </c>
      <c r="F25" s="132">
        <v>10000</v>
      </c>
      <c r="G25" s="25"/>
      <c r="H25" s="17" t="s">
        <v>133</v>
      </c>
      <c r="I25" s="17"/>
      <c r="J25" s="117"/>
      <c r="K25" s="17"/>
    </row>
    <row r="26" spans="1:11">
      <c r="A26" s="17">
        <v>20</v>
      </c>
      <c r="B26" s="17" t="s">
        <v>106</v>
      </c>
      <c r="C26" s="17">
        <v>7640</v>
      </c>
      <c r="D26" s="130">
        <v>45657</v>
      </c>
      <c r="E26" s="18" t="s">
        <v>670</v>
      </c>
      <c r="F26" s="132">
        <v>70000</v>
      </c>
      <c r="G26" s="25"/>
      <c r="H26" s="17" t="s">
        <v>104</v>
      </c>
      <c r="I26" s="17"/>
      <c r="J26" s="117">
        <v>28000</v>
      </c>
      <c r="K26" s="17"/>
    </row>
    <row r="27" spans="1:11" ht="52.2">
      <c r="A27" s="17">
        <v>21</v>
      </c>
      <c r="B27" s="17" t="s">
        <v>106</v>
      </c>
      <c r="C27" s="17">
        <v>1087</v>
      </c>
      <c r="D27" s="130">
        <v>46115</v>
      </c>
      <c r="E27" s="18" t="s">
        <v>1217</v>
      </c>
      <c r="F27" s="132">
        <v>125000</v>
      </c>
      <c r="G27" s="25"/>
      <c r="H27" s="17" t="s">
        <v>723</v>
      </c>
      <c r="I27" s="17"/>
      <c r="J27" s="117">
        <v>34000</v>
      </c>
      <c r="K27" s="17"/>
    </row>
    <row r="28" spans="1:11">
      <c r="A28" s="17">
        <v>22</v>
      </c>
      <c r="B28" s="17" t="s">
        <v>106</v>
      </c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7">
        <v>41</v>
      </c>
      <c r="B47" s="17"/>
      <c r="C47" s="17"/>
      <c r="D47" s="17"/>
      <c r="E47" s="18"/>
      <c r="F47" s="132"/>
      <c r="G47" s="25"/>
      <c r="H47" s="17"/>
      <c r="I47" s="17"/>
      <c r="J47" s="117"/>
      <c r="K47" s="17"/>
    </row>
    <row r="48" spans="1:11">
      <c r="A48" s="17">
        <v>42</v>
      </c>
      <c r="B48" s="17"/>
      <c r="C48" s="17"/>
      <c r="D48" s="17"/>
      <c r="E48" s="18"/>
      <c r="F48" s="132"/>
      <c r="G48" s="25"/>
      <c r="H48" s="17"/>
      <c r="I48" s="17"/>
      <c r="J48" s="117"/>
      <c r="K48" s="17"/>
    </row>
    <row r="49" spans="1:11">
      <c r="A49" s="17">
        <v>43</v>
      </c>
      <c r="B49" s="17"/>
      <c r="C49" s="17"/>
      <c r="D49" s="17"/>
      <c r="E49" s="18"/>
      <c r="F49" s="132"/>
      <c r="G49" s="25"/>
      <c r="H49" s="17"/>
      <c r="I49" s="17"/>
      <c r="J49" s="117"/>
      <c r="K49" s="17"/>
    </row>
    <row r="50" spans="1:11">
      <c r="A50" s="17">
        <v>44</v>
      </c>
      <c r="B50" s="17"/>
      <c r="C50" s="17"/>
      <c r="D50" s="17"/>
      <c r="E50" s="18"/>
      <c r="F50" s="132"/>
      <c r="G50" s="25"/>
      <c r="H50" s="17"/>
      <c r="I50" s="17"/>
      <c r="J50" s="117"/>
      <c r="K50" s="17"/>
    </row>
    <row r="51" spans="1:11">
      <c r="A51" s="17">
        <v>45</v>
      </c>
      <c r="B51" s="17"/>
      <c r="C51" s="17"/>
      <c r="D51" s="17"/>
      <c r="E51" s="18"/>
      <c r="F51" s="132"/>
      <c r="G51" s="25"/>
      <c r="H51" s="17"/>
      <c r="I51" s="17"/>
      <c r="J51" s="117"/>
      <c r="K51" s="17"/>
    </row>
    <row r="52" spans="1:11">
      <c r="A52" s="17">
        <v>46</v>
      </c>
      <c r="B52" s="17"/>
      <c r="C52" s="17"/>
      <c r="D52" s="17"/>
      <c r="E52" s="18"/>
      <c r="F52" s="132"/>
      <c r="G52" s="25"/>
      <c r="H52" s="17"/>
      <c r="I52" s="17"/>
      <c r="J52" s="117"/>
      <c r="K52" s="17"/>
    </row>
    <row r="53" spans="1:11">
      <c r="A53" s="17">
        <v>47</v>
      </c>
      <c r="B53" s="17"/>
      <c r="C53" s="17"/>
      <c r="D53" s="17"/>
      <c r="E53" s="18"/>
      <c r="F53" s="132"/>
      <c r="G53" s="25"/>
      <c r="H53" s="17"/>
      <c r="I53" s="17"/>
      <c r="J53" s="117"/>
      <c r="K53" s="17"/>
    </row>
    <row r="54" spans="1:11">
      <c r="A54" s="108"/>
      <c r="B54" s="204" t="s">
        <v>98</v>
      </c>
      <c r="C54" s="204"/>
      <c r="D54" s="108"/>
      <c r="E54" s="118"/>
      <c r="F54" s="119">
        <f>SUM(F7:F53)</f>
        <v>2727000</v>
      </c>
      <c r="G54" s="120">
        <f>SUM(G7:G53)</f>
        <v>0</v>
      </c>
      <c r="H54" s="108"/>
      <c r="I54" s="108"/>
      <c r="J54" s="121"/>
      <c r="K54" s="108"/>
    </row>
    <row r="55" spans="1:11">
      <c r="J55" s="115"/>
    </row>
    <row r="56" spans="1:11">
      <c r="J56" s="115"/>
    </row>
    <row r="57" spans="1:11">
      <c r="J57" s="115"/>
    </row>
    <row r="58" spans="1:11">
      <c r="J58" s="115"/>
    </row>
    <row r="59" spans="1:11">
      <c r="J59" s="115"/>
    </row>
    <row r="60" spans="1:11">
      <c r="J60" s="115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54:C54"/>
  </mergeCells>
  <hyperlinks>
    <hyperlink ref="K2" location="الاليات!A1" display="الاليات " xr:uid="{00000000-0004-0000-0900-000000000000}"/>
  </hyperlinks>
  <pageMargins left="0.7" right="0.7" top="0.75" bottom="0.75" header="0.3" footer="0.3"/>
  <pageSetup paperSize="9" scale="72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K118"/>
  <sheetViews>
    <sheetView rightToLeft="1" zoomScale="140" zoomScaleNormal="14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8.6640625" style="1" bestFit="1" customWidth="1"/>
    <col min="3" max="4" width="12.77734375" style="1" bestFit="1" customWidth="1"/>
    <col min="5" max="5" width="16.33203125" style="73" bestFit="1" customWidth="1"/>
    <col min="6" max="6" width="15.109375" style="78" bestFit="1" customWidth="1"/>
    <col min="7" max="7" width="7.6640625" style="122" bestFit="1" customWidth="1"/>
    <col min="8" max="8" width="13.44140625" style="1" bestFit="1" customWidth="1"/>
    <col min="9" max="9" width="7.6640625" style="1" bestFit="1" customWidth="1"/>
    <col min="10" max="10" width="9.77734375" style="1" bestFit="1" customWidth="1"/>
    <col min="11" max="11" width="9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6</v>
      </c>
      <c r="B2" s="207" t="s">
        <v>833</v>
      </c>
      <c r="C2" s="208"/>
      <c r="D2" s="85"/>
      <c r="E2" s="86" t="s">
        <v>8</v>
      </c>
      <c r="F2" s="17">
        <v>2024</v>
      </c>
      <c r="G2" s="89"/>
      <c r="H2" s="89" t="s">
        <v>100</v>
      </c>
      <c r="I2" s="89" t="s">
        <v>106</v>
      </c>
      <c r="J2" s="81"/>
      <c r="K2" s="90" t="s">
        <v>102</v>
      </c>
    </row>
    <row r="3" spans="1:11">
      <c r="A3" s="35"/>
      <c r="B3" s="89" t="s">
        <v>99</v>
      </c>
      <c r="C3" s="17" t="s">
        <v>598</v>
      </c>
      <c r="D3" s="89"/>
      <c r="E3" s="86" t="s">
        <v>68</v>
      </c>
      <c r="F3" s="35" t="s">
        <v>834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 t="s">
        <v>95</v>
      </c>
      <c r="F5" s="166">
        <f>J7</f>
        <v>2750</v>
      </c>
      <c r="G5" s="81"/>
      <c r="H5" s="81" t="s">
        <v>96</v>
      </c>
      <c r="I5" s="117">
        <f>MAX(J7:J141)</f>
        <v>12200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4.799999999999997">
      <c r="A7" s="17">
        <v>1</v>
      </c>
      <c r="B7" s="35" t="s">
        <v>106</v>
      </c>
      <c r="C7" s="18">
        <v>7289</v>
      </c>
      <c r="D7" s="133">
        <v>45601</v>
      </c>
      <c r="E7" s="18" t="s">
        <v>602</v>
      </c>
      <c r="F7" s="134">
        <v>100000</v>
      </c>
      <c r="G7" s="116">
        <v>1700</v>
      </c>
      <c r="H7" s="17" t="s">
        <v>133</v>
      </c>
      <c r="I7" s="81"/>
      <c r="J7" s="23">
        <v>2750</v>
      </c>
      <c r="K7" s="81"/>
    </row>
    <row r="8" spans="1:11" ht="34.799999999999997">
      <c r="A8" s="17">
        <v>3</v>
      </c>
      <c r="B8" s="35" t="s">
        <v>106</v>
      </c>
      <c r="C8" s="18">
        <v>7291</v>
      </c>
      <c r="D8" s="133">
        <v>45601</v>
      </c>
      <c r="E8" s="18" t="s">
        <v>603</v>
      </c>
      <c r="F8" s="134">
        <v>245000</v>
      </c>
      <c r="G8" s="116"/>
      <c r="H8" s="17" t="s">
        <v>133</v>
      </c>
      <c r="I8" s="17"/>
      <c r="J8" s="117"/>
      <c r="K8" s="17"/>
    </row>
    <row r="9" spans="1:11">
      <c r="A9" s="17">
        <v>4</v>
      </c>
      <c r="B9" s="35" t="s">
        <v>106</v>
      </c>
      <c r="C9" s="18">
        <v>7342</v>
      </c>
      <c r="D9" s="133">
        <v>45615</v>
      </c>
      <c r="E9" s="18" t="s">
        <v>604</v>
      </c>
      <c r="F9" s="134">
        <v>65000</v>
      </c>
      <c r="G9" s="116"/>
      <c r="H9" s="17" t="s">
        <v>133</v>
      </c>
      <c r="I9" s="17"/>
      <c r="J9" s="117"/>
      <c r="K9" s="17"/>
    </row>
    <row r="10" spans="1:11">
      <c r="A10" s="17">
        <v>5</v>
      </c>
      <c r="B10" s="35" t="s">
        <v>106</v>
      </c>
      <c r="C10" s="18">
        <v>8820</v>
      </c>
      <c r="D10" s="133">
        <v>45795</v>
      </c>
      <c r="E10" s="18" t="s">
        <v>145</v>
      </c>
      <c r="F10" s="134">
        <v>289000</v>
      </c>
      <c r="G10" s="116"/>
      <c r="H10" s="17" t="s">
        <v>103</v>
      </c>
      <c r="I10" s="17"/>
      <c r="J10" s="117"/>
      <c r="K10" s="17"/>
    </row>
    <row r="11" spans="1:11">
      <c r="A11" s="17">
        <v>6</v>
      </c>
      <c r="B11" s="18"/>
      <c r="C11" s="18">
        <v>17</v>
      </c>
      <c r="D11" s="133">
        <v>45663</v>
      </c>
      <c r="E11" s="18" t="s">
        <v>739</v>
      </c>
      <c r="F11" s="134">
        <v>172500</v>
      </c>
      <c r="G11" s="116"/>
      <c r="H11" s="17" t="s">
        <v>723</v>
      </c>
      <c r="I11" s="17"/>
      <c r="J11" s="117">
        <v>12200</v>
      </c>
      <c r="K11" s="17"/>
    </row>
    <row r="12" spans="1:11">
      <c r="A12" s="17">
        <v>7</v>
      </c>
      <c r="B12" s="17"/>
      <c r="C12" s="17">
        <v>968</v>
      </c>
      <c r="D12" s="17" t="s">
        <v>1197</v>
      </c>
      <c r="E12" s="18" t="s">
        <v>739</v>
      </c>
      <c r="F12" s="24">
        <v>140000</v>
      </c>
      <c r="G12" s="116"/>
      <c r="H12" s="17" t="s">
        <v>723</v>
      </c>
      <c r="I12" s="17"/>
      <c r="J12" s="117"/>
      <c r="K12" s="17"/>
    </row>
    <row r="13" spans="1:11">
      <c r="A13" s="17">
        <v>6</v>
      </c>
      <c r="B13" s="17"/>
      <c r="C13" s="17">
        <v>1401</v>
      </c>
      <c r="D13" s="130">
        <v>46361</v>
      </c>
      <c r="E13" s="18" t="s">
        <v>739</v>
      </c>
      <c r="F13" s="24">
        <v>114500</v>
      </c>
      <c r="G13" s="116"/>
      <c r="H13" s="17" t="s">
        <v>723</v>
      </c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1126000</v>
      </c>
      <c r="G36" s="120">
        <f>SUM(G7:G35)</f>
        <v>1700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0A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K118"/>
  <sheetViews>
    <sheetView rightToLeft="1" topLeftCell="A4" zoomScaleNormal="100" workbookViewId="0">
      <selection sqref="A1:K1"/>
    </sheetView>
  </sheetViews>
  <sheetFormatPr defaultColWidth="9.109375" defaultRowHeight="17.399999999999999"/>
  <cols>
    <col min="1" max="1" width="3.44140625" style="1" bestFit="1" customWidth="1"/>
    <col min="2" max="2" width="8.77734375" style="1" bestFit="1" customWidth="1"/>
    <col min="3" max="3" width="12.77734375" style="1" bestFit="1" customWidth="1"/>
    <col min="4" max="4" width="11.5546875" style="1" bestFit="1" customWidth="1"/>
    <col min="5" max="5" width="11.88671875" style="73" bestFit="1" customWidth="1"/>
    <col min="6" max="6" width="13.5546875" style="78" bestFit="1" customWidth="1"/>
    <col min="7" max="7" width="6.109375" style="122" bestFit="1" customWidth="1"/>
    <col min="8" max="8" width="13.44140625" style="1" bestFit="1" customWidth="1"/>
    <col min="9" max="9" width="10.33203125" style="1" bestFit="1" customWidth="1"/>
    <col min="10" max="10" width="7.6640625" style="1" bestFit="1" customWidth="1"/>
    <col min="11" max="11" width="9.2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7</v>
      </c>
      <c r="B2" s="207" t="s">
        <v>823</v>
      </c>
      <c r="C2" s="208"/>
      <c r="D2" s="85"/>
      <c r="E2" s="86" t="s">
        <v>8</v>
      </c>
      <c r="F2" s="17">
        <v>2024</v>
      </c>
      <c r="G2" s="89"/>
      <c r="H2" s="89" t="s">
        <v>100</v>
      </c>
      <c r="I2" s="35" t="s">
        <v>106</v>
      </c>
      <c r="J2" s="81"/>
      <c r="K2" s="90" t="s">
        <v>102</v>
      </c>
    </row>
    <row r="3" spans="1:11">
      <c r="A3" s="35"/>
      <c r="B3" s="89" t="s">
        <v>99</v>
      </c>
      <c r="C3" s="17" t="s">
        <v>696</v>
      </c>
      <c r="D3" s="89"/>
      <c r="E3" s="86" t="s">
        <v>68</v>
      </c>
      <c r="F3" s="35" t="s">
        <v>465</v>
      </c>
      <c r="G3" s="89"/>
      <c r="H3" s="89" t="s">
        <v>824</v>
      </c>
      <c r="I3" s="35" t="s">
        <v>103</v>
      </c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 ht="34.799999999999997">
      <c r="A5" s="35"/>
      <c r="B5" s="17" t="s">
        <v>855</v>
      </c>
      <c r="C5" s="35" t="s">
        <v>847</v>
      </c>
      <c r="E5" s="86" t="s">
        <v>95</v>
      </c>
      <c r="F5" s="142">
        <f>J7</f>
        <v>4000</v>
      </c>
      <c r="G5" s="81"/>
      <c r="H5" s="81" t="s">
        <v>96</v>
      </c>
      <c r="I5" s="117">
        <f>MAX(J7:J141)</f>
        <v>20000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835</v>
      </c>
      <c r="J6" s="94" t="s">
        <v>816</v>
      </c>
      <c r="K6" s="97"/>
    </row>
    <row r="7" spans="1:11" ht="34.799999999999997">
      <c r="A7" s="17">
        <v>1</v>
      </c>
      <c r="B7" s="18" t="s">
        <v>103</v>
      </c>
      <c r="C7" s="18">
        <v>7860</v>
      </c>
      <c r="D7" s="133">
        <v>45708</v>
      </c>
      <c r="E7" s="18" t="s">
        <v>670</v>
      </c>
      <c r="F7" s="134">
        <v>37500</v>
      </c>
      <c r="G7" s="116"/>
      <c r="H7" s="17" t="s">
        <v>723</v>
      </c>
      <c r="I7" s="81"/>
      <c r="J7" s="117">
        <v>4000</v>
      </c>
      <c r="K7" s="81"/>
    </row>
    <row r="8" spans="1:11" ht="34.799999999999997">
      <c r="A8" s="17">
        <v>3</v>
      </c>
      <c r="B8" s="18" t="s">
        <v>103</v>
      </c>
      <c r="C8" s="18">
        <v>9197</v>
      </c>
      <c r="D8" s="133">
        <v>45847</v>
      </c>
      <c r="E8" s="18" t="s">
        <v>809</v>
      </c>
      <c r="F8" s="134">
        <v>69000</v>
      </c>
      <c r="G8" s="116"/>
      <c r="H8" s="17" t="s">
        <v>723</v>
      </c>
      <c r="I8" s="17"/>
      <c r="J8" s="117">
        <v>10000</v>
      </c>
      <c r="K8" s="17"/>
    </row>
    <row r="9" spans="1:11" ht="34.799999999999997">
      <c r="A9" s="17">
        <v>4</v>
      </c>
      <c r="B9" s="18" t="s">
        <v>103</v>
      </c>
      <c r="C9" s="143">
        <v>222</v>
      </c>
      <c r="D9" s="144">
        <v>45668</v>
      </c>
      <c r="E9" s="143" t="s">
        <v>670</v>
      </c>
      <c r="F9" s="145">
        <v>54000</v>
      </c>
      <c r="G9" s="116"/>
      <c r="H9" s="17" t="s">
        <v>723</v>
      </c>
      <c r="I9" s="17"/>
      <c r="J9" s="117">
        <v>15000</v>
      </c>
      <c r="K9" s="17"/>
    </row>
    <row r="10" spans="1:11" ht="87">
      <c r="A10" s="17">
        <v>5</v>
      </c>
      <c r="B10" s="18" t="s">
        <v>103</v>
      </c>
      <c r="C10" s="143">
        <v>1111</v>
      </c>
      <c r="D10" s="144">
        <v>46298</v>
      </c>
      <c r="E10" s="143" t="s">
        <v>1219</v>
      </c>
      <c r="F10" s="145">
        <v>507000</v>
      </c>
      <c r="G10" s="116"/>
      <c r="H10" s="17" t="s">
        <v>103</v>
      </c>
      <c r="I10" s="17"/>
      <c r="J10" s="117">
        <v>20000</v>
      </c>
      <c r="K10" s="17"/>
    </row>
    <row r="11" spans="1:11">
      <c r="A11" s="17">
        <v>6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7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6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667500</v>
      </c>
      <c r="G36" s="120">
        <f>SUM(G7:G35)</f>
        <v>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0B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3" width="13.5546875" style="1" bestFit="1" customWidth="1"/>
    <col min="4" max="4" width="12.77734375" style="1" bestFit="1" customWidth="1"/>
    <col min="5" max="5" width="18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8</v>
      </c>
      <c r="B2" s="202" t="s">
        <v>839</v>
      </c>
      <c r="C2" s="203"/>
      <c r="D2" s="85"/>
      <c r="E2" s="86" t="s">
        <v>8</v>
      </c>
      <c r="F2" s="87">
        <v>2013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838</v>
      </c>
      <c r="D3" s="89"/>
      <c r="E3" s="86" t="s">
        <v>68</v>
      </c>
      <c r="F3" s="87" t="s">
        <v>76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 t="s">
        <v>95</v>
      </c>
      <c r="F5" s="93"/>
      <c r="G5" s="92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17">
        <v>1</v>
      </c>
      <c r="B7" s="17" t="s">
        <v>111</v>
      </c>
      <c r="C7" s="17">
        <v>4598</v>
      </c>
      <c r="D7" s="130">
        <v>45019</v>
      </c>
      <c r="E7" s="18" t="s">
        <v>191</v>
      </c>
      <c r="F7" s="132">
        <v>125000</v>
      </c>
      <c r="G7" s="25"/>
      <c r="H7" s="17" t="s">
        <v>111</v>
      </c>
      <c r="I7" s="17"/>
      <c r="J7" s="117"/>
      <c r="K7" s="17"/>
    </row>
    <row r="8" spans="1:11">
      <c r="A8" s="17">
        <v>2</v>
      </c>
      <c r="B8" s="17" t="s">
        <v>111</v>
      </c>
      <c r="C8" s="17">
        <v>4666</v>
      </c>
      <c r="D8" s="17"/>
      <c r="E8" s="18" t="s">
        <v>191</v>
      </c>
      <c r="F8" s="132">
        <v>50000</v>
      </c>
      <c r="G8" s="25"/>
      <c r="H8" s="17" t="s">
        <v>111</v>
      </c>
      <c r="I8" s="17"/>
      <c r="J8" s="117"/>
      <c r="K8" s="17"/>
    </row>
    <row r="9" spans="1:11">
      <c r="A9" s="17">
        <v>3</v>
      </c>
      <c r="B9" s="17" t="s">
        <v>111</v>
      </c>
      <c r="C9" s="17">
        <v>5014</v>
      </c>
      <c r="D9" s="130">
        <v>44932</v>
      </c>
      <c r="E9" s="18" t="s">
        <v>422</v>
      </c>
      <c r="F9" s="132">
        <v>307000</v>
      </c>
      <c r="G9" s="25"/>
      <c r="H9" s="17" t="s">
        <v>111</v>
      </c>
      <c r="I9" s="17"/>
      <c r="J9" s="117"/>
      <c r="K9" s="17"/>
    </row>
    <row r="10" spans="1:11">
      <c r="A10" s="17">
        <v>4</v>
      </c>
      <c r="B10" s="17" t="s">
        <v>111</v>
      </c>
      <c r="C10" s="17">
        <v>5165</v>
      </c>
      <c r="D10" s="130">
        <v>44992</v>
      </c>
      <c r="E10" s="18" t="s">
        <v>191</v>
      </c>
      <c r="F10" s="132">
        <v>334000</v>
      </c>
      <c r="G10" s="25"/>
      <c r="H10" s="17" t="s">
        <v>111</v>
      </c>
      <c r="I10" s="17"/>
      <c r="J10" s="117"/>
      <c r="K10" s="17"/>
    </row>
    <row r="11" spans="1:11">
      <c r="A11" s="17">
        <v>5</v>
      </c>
      <c r="B11" s="17" t="s">
        <v>111</v>
      </c>
      <c r="C11" s="17">
        <v>5365</v>
      </c>
      <c r="D11" s="130">
        <v>45268</v>
      </c>
      <c r="E11" s="18" t="s">
        <v>135</v>
      </c>
      <c r="F11" s="132">
        <v>310000</v>
      </c>
      <c r="G11" s="25"/>
      <c r="H11" s="17" t="s">
        <v>75</v>
      </c>
      <c r="I11" s="17"/>
      <c r="J11" s="117"/>
      <c r="K11" s="17"/>
    </row>
    <row r="12" spans="1:11">
      <c r="A12" s="17">
        <v>6</v>
      </c>
      <c r="B12" s="17" t="s">
        <v>133</v>
      </c>
      <c r="C12" s="17">
        <v>5707</v>
      </c>
      <c r="D12" s="17" t="s">
        <v>361</v>
      </c>
      <c r="E12" s="18" t="s">
        <v>112</v>
      </c>
      <c r="F12" s="132">
        <v>37000</v>
      </c>
      <c r="G12" s="25"/>
      <c r="H12" s="17" t="s">
        <v>133</v>
      </c>
      <c r="I12" s="17"/>
      <c r="J12" s="117"/>
      <c r="K12" s="17"/>
    </row>
    <row r="13" spans="1:11">
      <c r="A13" s="17">
        <v>7</v>
      </c>
      <c r="B13" s="17" t="s">
        <v>133</v>
      </c>
      <c r="C13" s="17">
        <v>5753</v>
      </c>
      <c r="D13" s="130">
        <v>45149</v>
      </c>
      <c r="E13" s="18" t="s">
        <v>191</v>
      </c>
      <c r="F13" s="132">
        <v>201000</v>
      </c>
      <c r="G13" s="25"/>
      <c r="H13" s="17" t="s">
        <v>133</v>
      </c>
      <c r="I13" s="17"/>
      <c r="J13" s="117"/>
      <c r="K13" s="17"/>
    </row>
    <row r="14" spans="1:11">
      <c r="A14" s="17">
        <v>8</v>
      </c>
      <c r="B14" s="17" t="s">
        <v>133</v>
      </c>
      <c r="C14" s="17">
        <v>5771</v>
      </c>
      <c r="D14" s="17" t="s">
        <v>371</v>
      </c>
      <c r="E14" s="18" t="s">
        <v>191</v>
      </c>
      <c r="F14" s="132">
        <v>570000</v>
      </c>
      <c r="G14" s="25"/>
      <c r="H14" s="17" t="s">
        <v>133</v>
      </c>
      <c r="I14" s="17"/>
      <c r="J14" s="117"/>
      <c r="K14" s="17"/>
    </row>
    <row r="15" spans="1:11">
      <c r="A15" s="17">
        <v>9</v>
      </c>
      <c r="B15" s="17" t="s">
        <v>133</v>
      </c>
      <c r="C15" s="17">
        <v>6013</v>
      </c>
      <c r="D15" s="130">
        <v>45383</v>
      </c>
      <c r="E15" s="18" t="s">
        <v>187</v>
      </c>
      <c r="F15" s="132">
        <v>155000</v>
      </c>
      <c r="G15" s="25"/>
      <c r="H15" s="17" t="s">
        <v>105</v>
      </c>
      <c r="I15" s="17"/>
      <c r="J15" s="117"/>
      <c r="K15" s="17"/>
    </row>
    <row r="16" spans="1:11">
      <c r="A16" s="17">
        <v>10</v>
      </c>
      <c r="B16" s="17" t="s">
        <v>133</v>
      </c>
      <c r="C16" s="17">
        <v>6286</v>
      </c>
      <c r="D16" s="130">
        <v>45325</v>
      </c>
      <c r="E16" s="18" t="s">
        <v>168</v>
      </c>
      <c r="F16" s="132">
        <v>391000</v>
      </c>
      <c r="G16" s="25"/>
      <c r="H16" s="17" t="s">
        <v>133</v>
      </c>
      <c r="I16" s="17"/>
      <c r="J16" s="117"/>
      <c r="K16" s="17"/>
    </row>
    <row r="17" spans="1:11">
      <c r="A17" s="17">
        <v>11</v>
      </c>
      <c r="B17" s="17" t="s">
        <v>133</v>
      </c>
      <c r="C17" s="17">
        <v>6356</v>
      </c>
      <c r="D17" s="130">
        <v>45326</v>
      </c>
      <c r="E17" s="18" t="s">
        <v>500</v>
      </c>
      <c r="F17" s="132">
        <v>30000</v>
      </c>
      <c r="G17" s="25"/>
      <c r="H17" s="17" t="s">
        <v>133</v>
      </c>
      <c r="I17" s="17"/>
      <c r="J17" s="117"/>
      <c r="K17" s="17"/>
    </row>
    <row r="18" spans="1:11">
      <c r="A18" s="17">
        <v>12</v>
      </c>
      <c r="B18" s="17" t="s">
        <v>133</v>
      </c>
      <c r="C18" s="17">
        <v>6518</v>
      </c>
      <c r="D18" s="17" t="s">
        <v>524</v>
      </c>
      <c r="E18" s="18" t="s">
        <v>525</v>
      </c>
      <c r="F18" s="132">
        <v>100000</v>
      </c>
      <c r="G18" s="25"/>
      <c r="H18" s="17" t="s">
        <v>133</v>
      </c>
      <c r="I18" s="17"/>
      <c r="J18" s="117"/>
      <c r="K18" s="17"/>
    </row>
    <row r="19" spans="1:11" ht="34.799999999999997">
      <c r="A19" s="17">
        <v>13</v>
      </c>
      <c r="B19" s="17" t="s">
        <v>133</v>
      </c>
      <c r="C19" s="17">
        <v>6565</v>
      </c>
      <c r="D19" s="17"/>
      <c r="E19" s="18" t="s">
        <v>528</v>
      </c>
      <c r="F19" s="132">
        <v>290000</v>
      </c>
      <c r="G19" s="25"/>
      <c r="H19" s="17" t="s">
        <v>133</v>
      </c>
      <c r="I19" s="17"/>
      <c r="J19" s="117"/>
      <c r="K19" s="17"/>
    </row>
    <row r="20" spans="1:11" ht="34.799999999999997">
      <c r="A20" s="17">
        <v>14</v>
      </c>
      <c r="B20" s="17" t="s">
        <v>133</v>
      </c>
      <c r="C20" s="17">
        <v>6938</v>
      </c>
      <c r="D20" s="130">
        <v>45526</v>
      </c>
      <c r="E20" s="18" t="s">
        <v>572</v>
      </c>
      <c r="F20" s="132">
        <v>60000</v>
      </c>
      <c r="G20" s="25"/>
      <c r="H20" s="17" t="s">
        <v>133</v>
      </c>
      <c r="I20" s="17"/>
      <c r="J20" s="117"/>
      <c r="K20" s="17"/>
    </row>
    <row r="21" spans="1:11">
      <c r="A21" s="17">
        <v>15</v>
      </c>
      <c r="B21" s="17" t="s">
        <v>133</v>
      </c>
      <c r="C21" s="17">
        <v>6980</v>
      </c>
      <c r="D21" s="130">
        <v>45536</v>
      </c>
      <c r="E21" s="18" t="s">
        <v>574</v>
      </c>
      <c r="F21" s="132">
        <v>25000</v>
      </c>
      <c r="G21" s="25"/>
      <c r="H21" s="17" t="s">
        <v>133</v>
      </c>
      <c r="I21" s="17"/>
      <c r="J21" s="117"/>
      <c r="K21" s="17"/>
    </row>
    <row r="22" spans="1:11">
      <c r="A22" s="17">
        <v>16</v>
      </c>
      <c r="B22" s="17" t="s">
        <v>133</v>
      </c>
      <c r="C22" s="98">
        <v>7071</v>
      </c>
      <c r="D22" s="135">
        <v>45560</v>
      </c>
      <c r="E22" s="99" t="s">
        <v>582</v>
      </c>
      <c r="F22" s="100">
        <v>400000</v>
      </c>
      <c r="G22" s="101"/>
      <c r="H22" s="98" t="s">
        <v>75</v>
      </c>
      <c r="I22" s="17"/>
      <c r="J22" s="117"/>
      <c r="K22" s="17"/>
    </row>
    <row r="23" spans="1:11" ht="69.599999999999994">
      <c r="A23" s="17">
        <v>17</v>
      </c>
      <c r="B23" s="17" t="s">
        <v>133</v>
      </c>
      <c r="C23" s="17">
        <v>7285</v>
      </c>
      <c r="D23" s="130">
        <v>45596</v>
      </c>
      <c r="E23" s="18" t="s">
        <v>597</v>
      </c>
      <c r="F23" s="132">
        <v>269000</v>
      </c>
      <c r="G23" s="25"/>
      <c r="H23" s="17" t="s">
        <v>105</v>
      </c>
      <c r="I23" s="17"/>
      <c r="J23" s="117"/>
      <c r="K23" s="17"/>
    </row>
    <row r="24" spans="1:11">
      <c r="A24" s="17">
        <v>18</v>
      </c>
      <c r="B24" s="17" t="s">
        <v>133</v>
      </c>
      <c r="C24" s="18">
        <v>7860</v>
      </c>
      <c r="D24" s="133">
        <v>45708</v>
      </c>
      <c r="E24" s="18" t="s">
        <v>670</v>
      </c>
      <c r="F24" s="134">
        <v>37750</v>
      </c>
      <c r="G24" s="116"/>
      <c r="H24" s="17" t="s">
        <v>723</v>
      </c>
      <c r="I24" s="81"/>
      <c r="J24" s="23"/>
      <c r="K24" s="17"/>
    </row>
    <row r="25" spans="1:11" ht="69.599999999999994">
      <c r="A25" s="17">
        <v>19</v>
      </c>
      <c r="B25" s="17"/>
      <c r="C25" s="98">
        <v>9738</v>
      </c>
      <c r="D25" s="135">
        <v>45913</v>
      </c>
      <c r="E25" s="99" t="s">
        <v>1042</v>
      </c>
      <c r="F25" s="100">
        <v>321000</v>
      </c>
      <c r="G25" s="101"/>
      <c r="H25" s="98" t="s">
        <v>75</v>
      </c>
      <c r="I25" s="17"/>
      <c r="J25" s="117"/>
      <c r="K25" s="17"/>
    </row>
    <row r="26" spans="1:11" ht="34.799999999999997">
      <c r="A26" s="17">
        <v>20</v>
      </c>
      <c r="B26" s="17"/>
      <c r="C26" s="17">
        <v>1093</v>
      </c>
      <c r="D26" s="130">
        <v>46086</v>
      </c>
      <c r="E26" s="18" t="s">
        <v>1221</v>
      </c>
      <c r="F26" s="132">
        <v>335000</v>
      </c>
      <c r="G26" s="25"/>
      <c r="H26" s="17" t="s">
        <v>75</v>
      </c>
      <c r="I26" s="17"/>
      <c r="J26" s="117"/>
      <c r="K26" s="17"/>
    </row>
    <row r="27" spans="1:11">
      <c r="A27" s="17">
        <v>21</v>
      </c>
      <c r="B27" s="17"/>
      <c r="C27" s="17">
        <v>1093</v>
      </c>
      <c r="D27" s="130">
        <v>46086</v>
      </c>
      <c r="E27" s="18" t="s">
        <v>259</v>
      </c>
      <c r="F27" s="132">
        <v>265000</v>
      </c>
      <c r="G27" s="25"/>
      <c r="H27" s="17" t="s">
        <v>75</v>
      </c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7">
        <v>41</v>
      </c>
      <c r="B47" s="17"/>
      <c r="C47" s="17"/>
      <c r="D47" s="17"/>
      <c r="E47" s="18"/>
      <c r="F47" s="132"/>
      <c r="G47" s="25"/>
      <c r="H47" s="17"/>
      <c r="I47" s="17"/>
      <c r="J47" s="117"/>
      <c r="K47" s="17"/>
    </row>
    <row r="48" spans="1:11">
      <c r="A48" s="17">
        <v>42</v>
      </c>
      <c r="B48" s="17"/>
      <c r="C48" s="17"/>
      <c r="D48" s="17"/>
      <c r="E48" s="18"/>
      <c r="F48" s="132"/>
      <c r="G48" s="25"/>
      <c r="H48" s="17"/>
      <c r="I48" s="17"/>
      <c r="J48" s="117"/>
      <c r="K48" s="17"/>
    </row>
    <row r="49" spans="1:11">
      <c r="A49" s="17">
        <v>43</v>
      </c>
      <c r="B49" s="17"/>
      <c r="C49" s="17"/>
      <c r="D49" s="17"/>
      <c r="E49" s="18"/>
      <c r="F49" s="132"/>
      <c r="G49" s="25"/>
      <c r="H49" s="17"/>
      <c r="I49" s="17"/>
      <c r="J49" s="117"/>
      <c r="K49" s="17"/>
    </row>
    <row r="50" spans="1:11">
      <c r="A50" s="17">
        <v>44</v>
      </c>
      <c r="B50" s="17"/>
      <c r="C50" s="17"/>
      <c r="D50" s="17"/>
      <c r="E50" s="18"/>
      <c r="F50" s="132"/>
      <c r="G50" s="25"/>
      <c r="H50" s="17"/>
      <c r="I50" s="17"/>
      <c r="J50" s="117"/>
      <c r="K50" s="17"/>
    </row>
    <row r="51" spans="1:11">
      <c r="A51" s="17">
        <v>45</v>
      </c>
      <c r="B51" s="17"/>
      <c r="C51" s="17"/>
      <c r="D51" s="17"/>
      <c r="E51" s="18"/>
      <c r="F51" s="132"/>
      <c r="G51" s="25"/>
      <c r="H51" s="17"/>
      <c r="I51" s="17"/>
      <c r="J51" s="117"/>
      <c r="K51" s="17"/>
    </row>
    <row r="52" spans="1:11">
      <c r="A52" s="17">
        <v>46</v>
      </c>
      <c r="B52" s="17"/>
      <c r="C52" s="17"/>
      <c r="D52" s="17"/>
      <c r="E52" s="18"/>
      <c r="F52" s="132"/>
      <c r="G52" s="25"/>
      <c r="H52" s="17"/>
      <c r="I52" s="17"/>
      <c r="J52" s="117"/>
      <c r="K52" s="17"/>
    </row>
    <row r="53" spans="1:11">
      <c r="A53" s="17">
        <v>47</v>
      </c>
      <c r="B53" s="17"/>
      <c r="C53" s="17"/>
      <c r="D53" s="17"/>
      <c r="E53" s="18"/>
      <c r="F53" s="132"/>
      <c r="G53" s="25"/>
      <c r="H53" s="17"/>
      <c r="I53" s="17"/>
      <c r="J53" s="117"/>
      <c r="K53" s="17"/>
    </row>
    <row r="54" spans="1:11">
      <c r="A54" s="17">
        <v>48</v>
      </c>
      <c r="B54" s="17"/>
      <c r="C54" s="17"/>
      <c r="D54" s="17"/>
      <c r="E54" s="18"/>
      <c r="F54" s="132"/>
      <c r="G54" s="25"/>
      <c r="H54" s="17"/>
      <c r="I54" s="17"/>
      <c r="J54" s="117"/>
      <c r="K54" s="17"/>
    </row>
    <row r="55" spans="1:11">
      <c r="A55" s="108"/>
      <c r="B55" s="204" t="s">
        <v>98</v>
      </c>
      <c r="C55" s="204"/>
      <c r="D55" s="108"/>
      <c r="E55" s="118"/>
      <c r="F55" s="119">
        <f>SUM(F7:F54)</f>
        <v>4612750</v>
      </c>
      <c r="G55" s="120">
        <f>SUM(G7:G54)</f>
        <v>0</v>
      </c>
      <c r="H55" s="108"/>
      <c r="I55" s="108"/>
      <c r="J55" s="121"/>
      <c r="K55" s="108"/>
    </row>
    <row r="56" spans="1:11">
      <c r="J56" s="115"/>
    </row>
    <row r="57" spans="1:11">
      <c r="J57" s="115"/>
    </row>
    <row r="58" spans="1:11">
      <c r="J58" s="115"/>
    </row>
    <row r="59" spans="1:11">
      <c r="J59" s="115"/>
    </row>
    <row r="60" spans="1:11">
      <c r="J60" s="115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55:C55"/>
  </mergeCells>
  <hyperlinks>
    <hyperlink ref="K2" location="الاليات!A1" display="الاليات " xr:uid="{00000000-0004-0000-0C00-000000000000}"/>
  </hyperlinks>
  <pageMargins left="0.7" right="0.7" top="0.75" bottom="0.75" header="0.3" footer="0.3"/>
  <pageSetup paperSize="9" scale="4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3" width="14.109375" style="1" bestFit="1" customWidth="1"/>
    <col min="4" max="4" width="12.77734375" style="1" bestFit="1" customWidth="1"/>
    <col min="5" max="5" width="18.77734375" style="73" bestFit="1" customWidth="1"/>
    <col min="6" max="6" width="15.109375" style="114" bestFit="1" customWidth="1"/>
    <col min="7" max="7" width="6.109375" style="122" bestFit="1" customWidth="1"/>
    <col min="8" max="8" width="14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</v>
      </c>
      <c r="B2" s="202" t="s">
        <v>840</v>
      </c>
      <c r="C2" s="203"/>
      <c r="D2" s="85"/>
      <c r="E2" s="86" t="s">
        <v>8</v>
      </c>
      <c r="F2" s="91"/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841</v>
      </c>
      <c r="D3" s="35"/>
      <c r="E3" s="86" t="s">
        <v>68</v>
      </c>
      <c r="F3" s="140" t="s">
        <v>70</v>
      </c>
      <c r="G3" s="89"/>
      <c r="H3" s="89" t="s">
        <v>824</v>
      </c>
      <c r="I3" s="35"/>
      <c r="J3" s="81"/>
      <c r="K3" s="81"/>
    </row>
    <row r="4" spans="1:11">
      <c r="A4" s="35"/>
      <c r="B4" s="35"/>
      <c r="C4" s="35"/>
      <c r="D4" s="35"/>
      <c r="E4" s="40"/>
      <c r="F4" s="140"/>
      <c r="G4" s="17"/>
      <c r="H4" s="17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35"/>
      <c r="E5" s="86" t="s">
        <v>95</v>
      </c>
      <c r="F5" s="142"/>
      <c r="G5" s="81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1</v>
      </c>
      <c r="B7" s="98" t="s">
        <v>109</v>
      </c>
      <c r="C7" s="98">
        <v>4608</v>
      </c>
      <c r="D7" s="98"/>
      <c r="E7" s="99" t="s">
        <v>260</v>
      </c>
      <c r="F7" s="100">
        <v>435000</v>
      </c>
      <c r="G7" s="127"/>
      <c r="H7" s="98" t="s">
        <v>109</v>
      </c>
      <c r="I7" s="98"/>
      <c r="J7" s="102"/>
      <c r="K7" s="17"/>
    </row>
    <row r="8" spans="1:11">
      <c r="A8" s="98">
        <v>2</v>
      </c>
      <c r="B8" s="98" t="s">
        <v>109</v>
      </c>
      <c r="C8" s="98">
        <v>4776</v>
      </c>
      <c r="D8" s="135">
        <v>45142</v>
      </c>
      <c r="E8" s="99" t="s">
        <v>289</v>
      </c>
      <c r="F8" s="100">
        <v>30000</v>
      </c>
      <c r="G8" s="127"/>
      <c r="H8" s="98" t="s">
        <v>109</v>
      </c>
      <c r="I8" s="98"/>
      <c r="J8" s="102"/>
      <c r="K8" s="17"/>
    </row>
    <row r="9" spans="1:11">
      <c r="A9" s="98">
        <v>3</v>
      </c>
      <c r="B9" s="98" t="s">
        <v>109</v>
      </c>
      <c r="C9" s="98">
        <v>5334</v>
      </c>
      <c r="D9" s="135">
        <v>45054</v>
      </c>
      <c r="E9" s="99" t="s">
        <v>147</v>
      </c>
      <c r="F9" s="100">
        <v>275000</v>
      </c>
      <c r="G9" s="127"/>
      <c r="H9" s="98" t="s">
        <v>109</v>
      </c>
      <c r="I9" s="98"/>
      <c r="J9" s="102"/>
      <c r="K9" s="17"/>
    </row>
    <row r="10" spans="1:11">
      <c r="A10" s="98">
        <v>4</v>
      </c>
      <c r="B10" s="98" t="s">
        <v>109</v>
      </c>
      <c r="C10" s="98">
        <v>5846</v>
      </c>
      <c r="D10" s="135">
        <v>44969</v>
      </c>
      <c r="E10" s="99" t="s">
        <v>384</v>
      </c>
      <c r="F10" s="100">
        <v>30000</v>
      </c>
      <c r="G10" s="127"/>
      <c r="H10" s="98" t="s">
        <v>109</v>
      </c>
      <c r="I10" s="98"/>
      <c r="J10" s="102"/>
      <c r="K10" s="17"/>
    </row>
    <row r="11" spans="1:11">
      <c r="A11" s="98">
        <v>5</v>
      </c>
      <c r="B11" s="98"/>
      <c r="C11" s="98">
        <v>6317</v>
      </c>
      <c r="D11" s="98" t="s">
        <v>430</v>
      </c>
      <c r="E11" s="99" t="s">
        <v>432</v>
      </c>
      <c r="F11" s="100">
        <v>75000</v>
      </c>
      <c r="G11" s="127"/>
      <c r="H11" s="98" t="s">
        <v>75</v>
      </c>
      <c r="I11" s="98"/>
      <c r="J11" s="102"/>
      <c r="K11" s="17"/>
    </row>
    <row r="12" spans="1:11">
      <c r="A12" s="98">
        <v>6</v>
      </c>
      <c r="B12" s="98"/>
      <c r="C12" s="98">
        <v>7071</v>
      </c>
      <c r="D12" s="135">
        <v>45560</v>
      </c>
      <c r="E12" s="99" t="s">
        <v>145</v>
      </c>
      <c r="F12" s="100">
        <v>60000</v>
      </c>
      <c r="G12" s="101"/>
      <c r="H12" s="98" t="s">
        <v>75</v>
      </c>
      <c r="I12" s="98"/>
      <c r="J12" s="102"/>
      <c r="K12" s="17"/>
    </row>
    <row r="13" spans="1:11" ht="34.799999999999997">
      <c r="A13" s="98">
        <v>7</v>
      </c>
      <c r="B13" s="98"/>
      <c r="C13" s="98"/>
      <c r="D13" s="135">
        <v>45580</v>
      </c>
      <c r="E13" s="99" t="s">
        <v>595</v>
      </c>
      <c r="F13" s="100">
        <v>130000</v>
      </c>
      <c r="G13" s="127"/>
      <c r="H13" s="98" t="s">
        <v>75</v>
      </c>
      <c r="I13" s="98"/>
      <c r="J13" s="102"/>
      <c r="K13" s="17"/>
    </row>
    <row r="14" spans="1:11">
      <c r="A14" s="98">
        <v>8</v>
      </c>
      <c r="B14" s="98"/>
      <c r="C14" s="98">
        <v>7272</v>
      </c>
      <c r="D14" s="135">
        <v>45599</v>
      </c>
      <c r="E14" s="99" t="s">
        <v>144</v>
      </c>
      <c r="F14" s="100">
        <v>65000</v>
      </c>
      <c r="G14" s="101"/>
      <c r="H14" s="98" t="s">
        <v>75</v>
      </c>
      <c r="I14" s="98"/>
      <c r="J14" s="102"/>
      <c r="K14" s="17"/>
    </row>
    <row r="15" spans="1:11" ht="34.799999999999997">
      <c r="A15" s="98">
        <v>9</v>
      </c>
      <c r="B15" s="98"/>
      <c r="C15" s="17">
        <v>7348</v>
      </c>
      <c r="D15" s="130">
        <v>45619</v>
      </c>
      <c r="E15" s="131" t="s">
        <v>625</v>
      </c>
      <c r="F15" s="132">
        <v>20000</v>
      </c>
      <c r="G15" s="116">
        <v>150</v>
      </c>
      <c r="H15" s="17" t="s">
        <v>75</v>
      </c>
      <c r="I15" s="98"/>
      <c r="J15" s="102"/>
      <c r="K15" s="17"/>
    </row>
    <row r="16" spans="1:11" ht="52.2">
      <c r="A16" s="98">
        <v>10</v>
      </c>
      <c r="B16" s="98"/>
      <c r="C16" s="17">
        <v>7580</v>
      </c>
      <c r="D16" s="130">
        <v>45649</v>
      </c>
      <c r="E16" s="18" t="s">
        <v>640</v>
      </c>
      <c r="F16" s="132">
        <v>270000</v>
      </c>
      <c r="G16" s="25"/>
      <c r="H16" s="17" t="s">
        <v>75</v>
      </c>
      <c r="I16" s="98"/>
      <c r="J16" s="102"/>
      <c r="K16" s="17"/>
    </row>
    <row r="17" spans="1:11" ht="34.799999999999997">
      <c r="A17" s="98">
        <v>11</v>
      </c>
      <c r="B17" s="98"/>
      <c r="C17" s="98">
        <v>8060</v>
      </c>
      <c r="D17" s="135">
        <v>45739</v>
      </c>
      <c r="E17" s="99" t="s">
        <v>740</v>
      </c>
      <c r="F17" s="100">
        <v>172000</v>
      </c>
      <c r="G17" s="127"/>
      <c r="H17" s="98" t="s">
        <v>105</v>
      </c>
      <c r="I17" s="98"/>
      <c r="J17" s="102"/>
      <c r="K17" s="17"/>
    </row>
    <row r="18" spans="1:11" ht="52.2">
      <c r="A18" s="98">
        <v>12</v>
      </c>
      <c r="B18" s="98" t="s">
        <v>109</v>
      </c>
      <c r="C18" s="98">
        <v>8770</v>
      </c>
      <c r="D18" s="135">
        <v>45785</v>
      </c>
      <c r="E18" s="99" t="s">
        <v>765</v>
      </c>
      <c r="F18" s="100">
        <v>250000</v>
      </c>
      <c r="G18" s="127"/>
      <c r="H18" s="98" t="s">
        <v>766</v>
      </c>
      <c r="I18" s="98"/>
      <c r="J18" s="102"/>
      <c r="K18" s="17"/>
    </row>
    <row r="19" spans="1:11">
      <c r="A19" s="98">
        <v>13</v>
      </c>
      <c r="B19" s="98" t="s">
        <v>109</v>
      </c>
      <c r="C19" s="98">
        <v>8771</v>
      </c>
      <c r="D19" s="135">
        <v>45785</v>
      </c>
      <c r="E19" s="99" t="s">
        <v>144</v>
      </c>
      <c r="F19" s="100">
        <v>65000</v>
      </c>
      <c r="G19" s="127"/>
      <c r="H19" s="98" t="s">
        <v>766</v>
      </c>
      <c r="I19" s="98"/>
      <c r="J19" s="102"/>
      <c r="K19" s="17"/>
    </row>
    <row r="20" spans="1:11">
      <c r="A20" s="98">
        <v>14</v>
      </c>
      <c r="B20" s="98" t="s">
        <v>109</v>
      </c>
      <c r="C20" s="98">
        <v>9339</v>
      </c>
      <c r="D20" s="135">
        <v>45862</v>
      </c>
      <c r="E20" s="99" t="s">
        <v>144</v>
      </c>
      <c r="F20" s="100">
        <v>52000</v>
      </c>
      <c r="G20" s="127"/>
      <c r="H20" s="98" t="s">
        <v>723</v>
      </c>
      <c r="I20" s="98"/>
      <c r="J20" s="102"/>
      <c r="K20" s="17"/>
    </row>
    <row r="21" spans="1:11" ht="34.799999999999997">
      <c r="A21" s="98">
        <v>15</v>
      </c>
      <c r="B21" s="98" t="s">
        <v>109</v>
      </c>
      <c r="C21" s="98">
        <v>777</v>
      </c>
      <c r="D21" s="98" t="s">
        <v>1152</v>
      </c>
      <c r="E21" s="99" t="s">
        <v>1153</v>
      </c>
      <c r="F21" s="100">
        <v>107000</v>
      </c>
      <c r="G21" s="127"/>
      <c r="H21" s="98" t="s">
        <v>766</v>
      </c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103"/>
      <c r="B36" s="206" t="s">
        <v>98</v>
      </c>
      <c r="C36" s="206"/>
      <c r="D36" s="103"/>
      <c r="E36" s="104"/>
      <c r="F36" s="105">
        <f>SUM(F7:F35)</f>
        <v>2036000</v>
      </c>
      <c r="G36" s="106">
        <f>SUM(G7:G35)</f>
        <v>150</v>
      </c>
      <c r="H36" s="103"/>
      <c r="I36" s="103"/>
      <c r="J36" s="107"/>
      <c r="K36" s="108"/>
    </row>
    <row r="37" spans="1:11">
      <c r="A37" s="109"/>
      <c r="B37" s="109"/>
      <c r="C37" s="109"/>
      <c r="D37" s="109"/>
      <c r="E37" s="110"/>
      <c r="F37" s="111"/>
      <c r="G37" s="129"/>
      <c r="H37" s="109"/>
      <c r="I37" s="109"/>
      <c r="J37" s="113"/>
    </row>
    <row r="38" spans="1:11">
      <c r="A38" s="109"/>
      <c r="B38" s="109"/>
      <c r="C38" s="109"/>
      <c r="D38" s="109"/>
      <c r="E38" s="110"/>
      <c r="F38" s="111"/>
      <c r="G38" s="129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11"/>
      <c r="G39" s="129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11"/>
      <c r="G40" s="129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29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29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29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29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29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29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29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29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29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29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29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29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29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29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29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29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29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29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29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29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29"/>
      <c r="H61" s="109"/>
      <c r="I61" s="109"/>
      <c r="J61" s="113"/>
    </row>
    <row r="62" spans="1:10">
      <c r="J62" s="115"/>
    </row>
    <row r="63" spans="1:10">
      <c r="J63" s="115"/>
    </row>
    <row r="64" spans="1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0D00-000000000000}"/>
  </hyperlinks>
  <pageMargins left="0.7" right="0.7" top="0.75" bottom="0.75" header="0.3" footer="0.3"/>
  <pageSetup paperSize="9" scale="5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K118"/>
  <sheetViews>
    <sheetView rightToLeft="1" view="pageBreakPreview" zoomScaleNormal="115" zoomScaleSheetLayoutView="10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4.109375" style="1" bestFit="1" customWidth="1"/>
    <col min="4" max="4" width="11.5546875" style="1" bestFit="1" customWidth="1"/>
    <col min="5" max="5" width="11" style="73" bestFit="1" customWidth="1"/>
    <col min="6" max="6" width="14.6640625" style="114" bestFit="1" customWidth="1"/>
    <col min="7" max="7" width="6.109375" style="197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11</v>
      </c>
      <c r="B2" s="202" t="s">
        <v>840</v>
      </c>
      <c r="C2" s="203"/>
      <c r="D2" s="85"/>
      <c r="E2" s="86" t="s">
        <v>8</v>
      </c>
      <c r="F2" s="87">
        <v>2013</v>
      </c>
      <c r="G2" s="91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845</v>
      </c>
      <c r="D3" s="89"/>
      <c r="E3" s="86" t="s">
        <v>68</v>
      </c>
      <c r="F3" s="140" t="s">
        <v>76</v>
      </c>
      <c r="G3" s="91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194"/>
      <c r="H4" s="81"/>
      <c r="I4" s="81"/>
      <c r="J4" s="81"/>
      <c r="K4" s="17"/>
    </row>
    <row r="5" spans="1:11" ht="34.799999999999997">
      <c r="A5" s="35"/>
      <c r="B5" s="89" t="s">
        <v>855</v>
      </c>
      <c r="C5" s="35" t="s">
        <v>847</v>
      </c>
      <c r="D5" s="89"/>
      <c r="E5" s="86" t="s">
        <v>95</v>
      </c>
      <c r="F5" s="93"/>
      <c r="G5" s="194"/>
      <c r="H5" s="81" t="s">
        <v>96</v>
      </c>
      <c r="I5" s="117">
        <f>MAX(J7:J141)</f>
        <v>0</v>
      </c>
      <c r="J5" s="81"/>
      <c r="K5" s="89" t="s">
        <v>837</v>
      </c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17">
        <v>4</v>
      </c>
      <c r="B7" s="17"/>
      <c r="C7" s="17">
        <v>5488</v>
      </c>
      <c r="D7" s="17" t="s">
        <v>341</v>
      </c>
      <c r="E7" s="18" t="s">
        <v>259</v>
      </c>
      <c r="F7" s="132">
        <v>540000</v>
      </c>
      <c r="G7" s="195"/>
      <c r="H7" s="17" t="s">
        <v>75</v>
      </c>
      <c r="I7" s="17"/>
      <c r="J7" s="117"/>
      <c r="K7" s="17"/>
    </row>
    <row r="8" spans="1:11">
      <c r="A8" s="17">
        <v>5</v>
      </c>
      <c r="B8" s="17"/>
      <c r="C8" s="17">
        <v>1281</v>
      </c>
      <c r="D8" s="17" t="s">
        <v>1256</v>
      </c>
      <c r="E8" s="18" t="s">
        <v>618</v>
      </c>
      <c r="F8" s="132">
        <v>255000</v>
      </c>
      <c r="G8" s="116"/>
      <c r="H8" s="17" t="s">
        <v>75</v>
      </c>
      <c r="I8" s="17"/>
      <c r="J8" s="117"/>
      <c r="K8" s="17"/>
    </row>
    <row r="9" spans="1:11">
      <c r="A9" s="17">
        <v>6</v>
      </c>
      <c r="B9" s="17"/>
      <c r="C9" s="17"/>
      <c r="D9" s="17"/>
      <c r="E9" s="18"/>
      <c r="F9" s="132"/>
      <c r="G9" s="195"/>
      <c r="H9" s="17"/>
      <c r="I9" s="17"/>
      <c r="J9" s="117"/>
      <c r="K9" s="17"/>
    </row>
    <row r="10" spans="1:11">
      <c r="A10" s="17">
        <v>7</v>
      </c>
      <c r="B10" s="17"/>
      <c r="C10" s="17"/>
      <c r="D10" s="17"/>
      <c r="E10" s="18"/>
      <c r="F10" s="132"/>
      <c r="G10" s="195"/>
      <c r="H10" s="17"/>
      <c r="I10" s="17"/>
      <c r="J10" s="117"/>
      <c r="K10" s="17"/>
    </row>
    <row r="11" spans="1:11">
      <c r="A11" s="17">
        <v>8</v>
      </c>
      <c r="B11" s="17"/>
      <c r="C11" s="17"/>
      <c r="D11" s="17"/>
      <c r="E11" s="18"/>
      <c r="F11" s="132"/>
      <c r="G11" s="195"/>
      <c r="H11" s="17"/>
      <c r="I11" s="17"/>
      <c r="J11" s="117"/>
      <c r="K11" s="17"/>
    </row>
    <row r="12" spans="1:11">
      <c r="A12" s="17">
        <v>9</v>
      </c>
      <c r="B12" s="17"/>
      <c r="C12" s="17"/>
      <c r="D12" s="17"/>
      <c r="E12" s="18"/>
      <c r="F12" s="132"/>
      <c r="G12" s="195"/>
      <c r="H12" s="17"/>
      <c r="I12" s="17"/>
      <c r="J12" s="117"/>
      <c r="K12" s="17"/>
    </row>
    <row r="13" spans="1:11">
      <c r="A13" s="17">
        <v>10</v>
      </c>
      <c r="B13" s="17"/>
      <c r="C13" s="17"/>
      <c r="D13" s="17"/>
      <c r="E13" s="18"/>
      <c r="F13" s="132"/>
      <c r="G13" s="195"/>
      <c r="H13" s="17"/>
      <c r="I13" s="17"/>
      <c r="J13" s="117"/>
      <c r="K13" s="17"/>
    </row>
    <row r="14" spans="1:11">
      <c r="A14" s="17">
        <v>11</v>
      </c>
      <c r="B14" s="17"/>
      <c r="C14" s="17"/>
      <c r="D14" s="17"/>
      <c r="E14" s="18"/>
      <c r="F14" s="132"/>
      <c r="G14" s="195"/>
      <c r="H14" s="17"/>
      <c r="I14" s="17"/>
      <c r="J14" s="117"/>
      <c r="K14" s="17"/>
    </row>
    <row r="15" spans="1:11">
      <c r="A15" s="17">
        <v>12</v>
      </c>
      <c r="B15" s="17"/>
      <c r="C15" s="17"/>
      <c r="D15" s="17"/>
      <c r="E15" s="18"/>
      <c r="F15" s="132"/>
      <c r="G15" s="195"/>
      <c r="H15" s="17"/>
      <c r="I15" s="17"/>
      <c r="J15" s="117"/>
      <c r="K15" s="17"/>
    </row>
    <row r="16" spans="1:11">
      <c r="A16" s="17">
        <v>13</v>
      </c>
      <c r="B16" s="17"/>
      <c r="C16" s="17"/>
      <c r="D16" s="17"/>
      <c r="E16" s="18"/>
      <c r="F16" s="132"/>
      <c r="G16" s="195"/>
      <c r="H16" s="17"/>
      <c r="I16" s="17"/>
      <c r="J16" s="117"/>
      <c r="K16" s="17"/>
    </row>
    <row r="17" spans="1:11">
      <c r="A17" s="17">
        <v>14</v>
      </c>
      <c r="B17" s="17"/>
      <c r="C17" s="17"/>
      <c r="D17" s="17"/>
      <c r="E17" s="18"/>
      <c r="F17" s="132"/>
      <c r="G17" s="195"/>
      <c r="H17" s="17"/>
      <c r="I17" s="17"/>
      <c r="J17" s="117"/>
      <c r="K17" s="17"/>
    </row>
    <row r="18" spans="1:11">
      <c r="A18" s="17">
        <v>15</v>
      </c>
      <c r="B18" s="17"/>
      <c r="C18" s="17"/>
      <c r="D18" s="17"/>
      <c r="E18" s="18"/>
      <c r="F18" s="132"/>
      <c r="G18" s="195"/>
      <c r="H18" s="17"/>
      <c r="I18" s="17"/>
      <c r="J18" s="117"/>
      <c r="K18" s="17"/>
    </row>
    <row r="19" spans="1:11">
      <c r="A19" s="17">
        <v>16</v>
      </c>
      <c r="B19" s="17"/>
      <c r="C19" s="17"/>
      <c r="D19" s="17"/>
      <c r="E19" s="18"/>
      <c r="F19" s="132"/>
      <c r="G19" s="195"/>
      <c r="H19" s="17"/>
      <c r="I19" s="17"/>
      <c r="J19" s="117"/>
      <c r="K19" s="17"/>
    </row>
    <row r="20" spans="1:11">
      <c r="A20" s="17">
        <v>17</v>
      </c>
      <c r="B20" s="17"/>
      <c r="C20" s="17"/>
      <c r="D20" s="17"/>
      <c r="E20" s="18"/>
      <c r="F20" s="132"/>
      <c r="G20" s="195"/>
      <c r="H20" s="17"/>
      <c r="I20" s="17"/>
      <c r="J20" s="117"/>
      <c r="K20" s="17"/>
    </row>
    <row r="21" spans="1:11">
      <c r="A21" s="17">
        <v>18</v>
      </c>
      <c r="B21" s="17"/>
      <c r="C21" s="17"/>
      <c r="D21" s="17"/>
      <c r="E21" s="18"/>
      <c r="F21" s="132"/>
      <c r="G21" s="195"/>
      <c r="H21" s="17"/>
      <c r="I21" s="17"/>
      <c r="J21" s="117"/>
      <c r="K21" s="17"/>
    </row>
    <row r="22" spans="1:11">
      <c r="A22" s="17">
        <v>19</v>
      </c>
      <c r="B22" s="17"/>
      <c r="C22" s="17"/>
      <c r="D22" s="17"/>
      <c r="E22" s="18"/>
      <c r="F22" s="132"/>
      <c r="G22" s="195"/>
      <c r="H22" s="17"/>
      <c r="I22" s="17"/>
      <c r="J22" s="117"/>
      <c r="K22" s="17"/>
    </row>
    <row r="23" spans="1:11">
      <c r="A23" s="17">
        <v>20</v>
      </c>
      <c r="B23" s="17"/>
      <c r="C23" s="17"/>
      <c r="D23" s="17"/>
      <c r="E23" s="18"/>
      <c r="F23" s="132"/>
      <c r="G23" s="195"/>
      <c r="H23" s="17"/>
      <c r="I23" s="17"/>
      <c r="J23" s="117"/>
      <c r="K23" s="17"/>
    </row>
    <row r="24" spans="1:11">
      <c r="A24" s="17">
        <v>21</v>
      </c>
      <c r="B24" s="17"/>
      <c r="C24" s="17"/>
      <c r="D24" s="17"/>
      <c r="E24" s="18"/>
      <c r="F24" s="132"/>
      <c r="G24" s="195"/>
      <c r="H24" s="17"/>
      <c r="I24" s="17"/>
      <c r="J24" s="117"/>
      <c r="K24" s="17"/>
    </row>
    <row r="25" spans="1:11">
      <c r="A25" s="17">
        <v>22</v>
      </c>
      <c r="B25" s="17"/>
      <c r="C25" s="17"/>
      <c r="D25" s="17"/>
      <c r="E25" s="18"/>
      <c r="F25" s="132"/>
      <c r="G25" s="195"/>
      <c r="H25" s="17"/>
      <c r="I25" s="17"/>
      <c r="J25" s="117"/>
      <c r="K25" s="17"/>
    </row>
    <row r="26" spans="1:11">
      <c r="A26" s="17">
        <v>23</v>
      </c>
      <c r="B26" s="17"/>
      <c r="C26" s="17"/>
      <c r="D26" s="17"/>
      <c r="E26" s="18"/>
      <c r="F26" s="132"/>
      <c r="G26" s="195"/>
      <c r="H26" s="17"/>
      <c r="I26" s="17"/>
      <c r="J26" s="117"/>
      <c r="K26" s="17"/>
    </row>
    <row r="27" spans="1:11">
      <c r="A27" s="17">
        <v>24</v>
      </c>
      <c r="B27" s="17"/>
      <c r="C27" s="17"/>
      <c r="D27" s="17"/>
      <c r="E27" s="18"/>
      <c r="F27" s="132"/>
      <c r="G27" s="195"/>
      <c r="H27" s="17"/>
      <c r="I27" s="17"/>
      <c r="J27" s="117"/>
      <c r="K27" s="17"/>
    </row>
    <row r="28" spans="1:11">
      <c r="A28" s="17">
        <v>25</v>
      </c>
      <c r="B28" s="17"/>
      <c r="C28" s="17"/>
      <c r="D28" s="17"/>
      <c r="E28" s="18"/>
      <c r="F28" s="132"/>
      <c r="G28" s="195"/>
      <c r="H28" s="17"/>
      <c r="I28" s="17"/>
      <c r="J28" s="117"/>
      <c r="K28" s="17"/>
    </row>
    <row r="29" spans="1:11">
      <c r="A29" s="17">
        <v>26</v>
      </c>
      <c r="B29" s="17"/>
      <c r="C29" s="17"/>
      <c r="D29" s="17"/>
      <c r="E29" s="18"/>
      <c r="F29" s="132"/>
      <c r="G29" s="195"/>
      <c r="H29" s="17"/>
      <c r="I29" s="17"/>
      <c r="J29" s="117"/>
      <c r="K29" s="17"/>
    </row>
    <row r="30" spans="1:11">
      <c r="A30" s="17">
        <v>27</v>
      </c>
      <c r="B30" s="17"/>
      <c r="C30" s="17"/>
      <c r="D30" s="17"/>
      <c r="E30" s="18"/>
      <c r="F30" s="132"/>
      <c r="G30" s="195"/>
      <c r="H30" s="17"/>
      <c r="I30" s="17"/>
      <c r="J30" s="117"/>
      <c r="K30" s="17"/>
    </row>
    <row r="31" spans="1:11">
      <c r="A31" s="17">
        <v>28</v>
      </c>
      <c r="B31" s="17"/>
      <c r="C31" s="17"/>
      <c r="D31" s="17"/>
      <c r="E31" s="18"/>
      <c r="F31" s="132"/>
      <c r="G31" s="195"/>
      <c r="H31" s="17"/>
      <c r="I31" s="17"/>
      <c r="J31" s="117"/>
      <c r="K31" s="17"/>
    </row>
    <row r="32" spans="1:11">
      <c r="A32" s="17">
        <v>29</v>
      </c>
      <c r="B32" s="17"/>
      <c r="C32" s="17"/>
      <c r="D32" s="17"/>
      <c r="E32" s="18"/>
      <c r="F32" s="132"/>
      <c r="G32" s="195"/>
      <c r="H32" s="17"/>
      <c r="I32" s="17"/>
      <c r="J32" s="117"/>
      <c r="K32" s="17"/>
    </row>
    <row r="33" spans="1:11">
      <c r="A33" s="17">
        <v>30</v>
      </c>
      <c r="B33" s="17"/>
      <c r="C33" s="17"/>
      <c r="D33" s="17"/>
      <c r="E33" s="18"/>
      <c r="F33" s="132"/>
      <c r="G33" s="195"/>
      <c r="H33" s="17"/>
      <c r="I33" s="17"/>
      <c r="J33" s="117"/>
      <c r="K33" s="17"/>
    </row>
    <row r="34" spans="1:11">
      <c r="A34" s="108"/>
      <c r="B34" s="204" t="s">
        <v>98</v>
      </c>
      <c r="C34" s="204"/>
      <c r="D34" s="108"/>
      <c r="E34" s="118"/>
      <c r="F34" s="119">
        <f>SUM(F7:F33)</f>
        <v>795000</v>
      </c>
      <c r="G34" s="196">
        <f>SUM(G7:G33)</f>
        <v>0</v>
      </c>
      <c r="H34" s="108"/>
      <c r="I34" s="108"/>
      <c r="J34" s="121"/>
      <c r="K34" s="108"/>
    </row>
    <row r="35" spans="1:11">
      <c r="J35" s="115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4:C34"/>
  </mergeCells>
  <phoneticPr fontId="4" type="noConversion"/>
  <hyperlinks>
    <hyperlink ref="K2" location="الاليات!A1" display="الاليات " xr:uid="{00000000-0004-0000-0E00-00000000000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2.6640625" style="1" bestFit="1" customWidth="1"/>
    <col min="3" max="4" width="12.77734375" style="1" bestFit="1" customWidth="1"/>
    <col min="5" max="5" width="16.33203125" style="73" customWidth="1"/>
    <col min="6" max="6" width="15.109375" style="114" bestFit="1" customWidth="1"/>
    <col min="7" max="7" width="6.21875" style="79" bestFit="1" customWidth="1"/>
    <col min="8" max="8" width="13.44140625" style="1" bestFit="1" customWidth="1"/>
    <col min="9" max="9" width="10.21875" style="1" bestFit="1" customWidth="1"/>
    <col min="10" max="10" width="4.777343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13</v>
      </c>
      <c r="B2" s="202" t="s">
        <v>840</v>
      </c>
      <c r="C2" s="203"/>
      <c r="D2" s="85"/>
      <c r="E2" s="86" t="s">
        <v>8</v>
      </c>
      <c r="F2" s="87">
        <v>2011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90</v>
      </c>
      <c r="D3" s="89"/>
      <c r="E3" s="86" t="s">
        <v>68</v>
      </c>
      <c r="F3" s="140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81" t="s">
        <v>855</v>
      </c>
      <c r="C5" s="35" t="s">
        <v>847</v>
      </c>
      <c r="D5" s="89"/>
      <c r="E5" s="86" t="s">
        <v>95</v>
      </c>
      <c r="F5" s="142"/>
      <c r="G5" s="92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1</v>
      </c>
      <c r="B7" s="98"/>
      <c r="C7" s="98" t="s">
        <v>174</v>
      </c>
      <c r="D7" s="98"/>
      <c r="E7" s="99" t="s">
        <v>175</v>
      </c>
      <c r="F7" s="100">
        <v>184750</v>
      </c>
      <c r="G7" s="101"/>
      <c r="H7" s="98"/>
      <c r="I7" s="98"/>
      <c r="J7" s="102"/>
      <c r="K7" s="17"/>
    </row>
    <row r="8" spans="1:11">
      <c r="A8" s="98">
        <v>2</v>
      </c>
      <c r="B8" s="98"/>
      <c r="C8" s="98">
        <v>5922</v>
      </c>
      <c r="D8" s="98" t="s">
        <v>391</v>
      </c>
      <c r="E8" s="99" t="s">
        <v>145</v>
      </c>
      <c r="F8" s="100">
        <v>85000</v>
      </c>
      <c r="G8" s="101"/>
      <c r="H8" s="98" t="s">
        <v>75</v>
      </c>
      <c r="I8" s="98"/>
      <c r="J8" s="102"/>
      <c r="K8" s="17"/>
    </row>
    <row r="9" spans="1:11">
      <c r="A9" s="98">
        <v>3</v>
      </c>
      <c r="B9" s="98"/>
      <c r="C9" s="98">
        <v>6049</v>
      </c>
      <c r="D9" s="98" t="s">
        <v>401</v>
      </c>
      <c r="E9" s="99" t="s">
        <v>331</v>
      </c>
      <c r="F9" s="100">
        <v>3745000</v>
      </c>
      <c r="G9" s="101"/>
      <c r="H9" s="98" t="s">
        <v>75</v>
      </c>
      <c r="I9" s="98"/>
      <c r="J9" s="102"/>
      <c r="K9" s="17"/>
    </row>
    <row r="10" spans="1:11" ht="52.2">
      <c r="A10" s="98">
        <v>4</v>
      </c>
      <c r="B10" s="98"/>
      <c r="C10" s="98">
        <v>7658</v>
      </c>
      <c r="D10" s="135">
        <v>45662</v>
      </c>
      <c r="E10" s="99" t="s">
        <v>680</v>
      </c>
      <c r="F10" s="100">
        <v>1480000</v>
      </c>
      <c r="G10" s="127"/>
      <c r="H10" s="98" t="s">
        <v>75</v>
      </c>
      <c r="I10" s="98"/>
      <c r="J10" s="102"/>
      <c r="K10" s="17"/>
    </row>
    <row r="11" spans="1:11" ht="34.799999999999997">
      <c r="A11" s="98">
        <v>5</v>
      </c>
      <c r="B11" s="98"/>
      <c r="C11" s="98">
        <v>7757</v>
      </c>
      <c r="D11" s="135">
        <v>45682</v>
      </c>
      <c r="E11" s="99" t="s">
        <v>689</v>
      </c>
      <c r="F11" s="100">
        <v>160000</v>
      </c>
      <c r="G11" s="101"/>
      <c r="H11" s="98" t="s">
        <v>105</v>
      </c>
      <c r="I11" s="98"/>
      <c r="J11" s="102"/>
      <c r="K11" s="17"/>
    </row>
    <row r="12" spans="1:11" ht="409.6">
      <c r="A12" s="98">
        <v>6</v>
      </c>
      <c r="B12" s="98"/>
      <c r="C12" s="98">
        <v>9738</v>
      </c>
      <c r="D12" s="135">
        <v>45913</v>
      </c>
      <c r="E12" s="99" t="s">
        <v>1044</v>
      </c>
      <c r="F12" s="100">
        <v>1735000</v>
      </c>
      <c r="G12" s="101"/>
      <c r="H12" s="98" t="s">
        <v>75</v>
      </c>
      <c r="I12" s="98"/>
      <c r="J12" s="102"/>
      <c r="K12" s="17"/>
    </row>
    <row r="13" spans="1:11" ht="34.799999999999997">
      <c r="A13" s="98">
        <v>7</v>
      </c>
      <c r="B13" s="98"/>
      <c r="C13" s="98">
        <v>101</v>
      </c>
      <c r="D13" s="135">
        <v>45948</v>
      </c>
      <c r="E13" s="99" t="s">
        <v>1080</v>
      </c>
      <c r="F13" s="100">
        <v>185000</v>
      </c>
      <c r="G13" s="101"/>
      <c r="H13" s="98" t="s">
        <v>75</v>
      </c>
      <c r="I13" s="98"/>
      <c r="J13" s="102"/>
      <c r="K13" s="17"/>
    </row>
    <row r="14" spans="1:11">
      <c r="A14" s="98">
        <v>8</v>
      </c>
      <c r="B14" s="98"/>
      <c r="C14" s="98"/>
      <c r="D14" s="98"/>
      <c r="E14" s="99"/>
      <c r="F14" s="100"/>
      <c r="G14" s="101"/>
      <c r="H14" s="98"/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00"/>
      <c r="G15" s="101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00"/>
      <c r="G16" s="101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00"/>
      <c r="G17" s="101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00"/>
      <c r="G18" s="101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00"/>
      <c r="G19" s="101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00"/>
      <c r="G20" s="101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103"/>
      <c r="B37" s="206" t="s">
        <v>98</v>
      </c>
      <c r="C37" s="206"/>
      <c r="D37" s="103"/>
      <c r="E37" s="104"/>
      <c r="F37" s="105">
        <f>SUM(F7:F36)</f>
        <v>7574750</v>
      </c>
      <c r="G37" s="106">
        <f>SUM(G7:G36)</f>
        <v>0</v>
      </c>
      <c r="H37" s="103"/>
      <c r="I37" s="103"/>
      <c r="J37" s="107"/>
      <c r="K37" s="108"/>
    </row>
    <row r="38" spans="1:11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11"/>
      <c r="G73" s="112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11"/>
      <c r="G74" s="112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11"/>
      <c r="G75" s="112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11"/>
      <c r="G76" s="112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11"/>
      <c r="G77" s="112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11"/>
      <c r="G78" s="112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11"/>
      <c r="G79" s="112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11"/>
      <c r="G80" s="112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11"/>
      <c r="G81" s="112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11"/>
      <c r="G82" s="112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11"/>
      <c r="G83" s="112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11"/>
      <c r="G84" s="112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11"/>
      <c r="G85" s="112"/>
      <c r="H85" s="109"/>
      <c r="I85" s="109"/>
      <c r="J85" s="113"/>
    </row>
    <row r="86" spans="1:10">
      <c r="A86" s="109"/>
      <c r="B86" s="109"/>
      <c r="C86" s="109"/>
      <c r="D86" s="109"/>
      <c r="E86" s="110"/>
      <c r="F86" s="111"/>
      <c r="G86" s="112"/>
      <c r="H86" s="109"/>
      <c r="I86" s="109"/>
      <c r="J86" s="113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0F00-000000000000}"/>
  </hyperlinks>
  <pageMargins left="0.7" right="0.7" top="0.75" bottom="0.75" header="0.3" footer="0.3"/>
  <pageSetup paperSize="9" scale="4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4" width="12.77734375" style="1" bestFit="1" customWidth="1"/>
    <col min="5" max="5" width="16.21875" style="73" bestFit="1" customWidth="1"/>
    <col min="6" max="6" width="15.109375" style="114" bestFit="1" customWidth="1"/>
    <col min="7" max="7" width="6.21875" style="79" bestFit="1" customWidth="1"/>
    <col min="8" max="8" width="13.44140625" style="1" bestFit="1" customWidth="1"/>
    <col min="9" max="9" width="8" style="1" bestFit="1" customWidth="1"/>
    <col min="10" max="10" width="4.77734375" style="1" bestFit="1" customWidth="1"/>
    <col min="11" max="11" width="10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6.75" customHeight="1">
      <c r="A2" s="35">
        <v>14</v>
      </c>
      <c r="B2" s="202" t="s">
        <v>840</v>
      </c>
      <c r="C2" s="203"/>
      <c r="D2" s="85"/>
      <c r="E2" s="86" t="s">
        <v>8</v>
      </c>
      <c r="F2" s="140">
        <v>2008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93" t="s">
        <v>852</v>
      </c>
      <c r="D3" s="89"/>
      <c r="E3" s="86" t="s">
        <v>68</v>
      </c>
      <c r="F3" s="140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81" t="s">
        <v>855</v>
      </c>
      <c r="C5" s="35" t="s">
        <v>847</v>
      </c>
      <c r="D5" s="89"/>
      <c r="E5" s="86" t="s">
        <v>95</v>
      </c>
      <c r="F5" s="93"/>
      <c r="G5" s="92"/>
      <c r="H5" s="81" t="s">
        <v>96</v>
      </c>
      <c r="I5" s="23">
        <f>MAX(J7:J141)</f>
        <v>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1</v>
      </c>
      <c r="B7" s="98" t="s">
        <v>75</v>
      </c>
      <c r="C7" s="98">
        <v>4560</v>
      </c>
      <c r="D7" s="98" t="s">
        <v>257</v>
      </c>
      <c r="E7" s="99" t="s">
        <v>259</v>
      </c>
      <c r="F7" s="100">
        <v>482000</v>
      </c>
      <c r="G7" s="101"/>
      <c r="H7" s="98" t="s">
        <v>75</v>
      </c>
      <c r="I7" s="98"/>
      <c r="J7" s="102"/>
      <c r="K7" s="17"/>
    </row>
    <row r="8" spans="1:11">
      <c r="A8" s="163">
        <v>2</v>
      </c>
      <c r="B8" s="98"/>
      <c r="C8" s="98" t="s">
        <v>265</v>
      </c>
      <c r="D8" s="135">
        <v>44929</v>
      </c>
      <c r="E8" s="99" t="s">
        <v>125</v>
      </c>
      <c r="F8" s="100">
        <v>460000</v>
      </c>
      <c r="G8" s="101"/>
      <c r="H8" s="98"/>
      <c r="I8" s="98"/>
      <c r="J8" s="102"/>
      <c r="K8" s="17"/>
    </row>
    <row r="9" spans="1:11">
      <c r="A9" s="98">
        <v>3</v>
      </c>
      <c r="B9" s="98"/>
      <c r="C9" s="98">
        <v>6145</v>
      </c>
      <c r="D9" s="135" t="s">
        <v>412</v>
      </c>
      <c r="E9" s="99" t="s">
        <v>317</v>
      </c>
      <c r="F9" s="100">
        <v>1889000</v>
      </c>
      <c r="G9" s="101"/>
      <c r="H9" s="98" t="s">
        <v>75</v>
      </c>
      <c r="I9" s="98"/>
      <c r="J9" s="102"/>
      <c r="K9" s="17"/>
    </row>
    <row r="10" spans="1:11" ht="34.799999999999997">
      <c r="A10" s="98">
        <v>4</v>
      </c>
      <c r="B10" s="98"/>
      <c r="C10" s="17">
        <v>5922</v>
      </c>
      <c r="D10" s="17" t="s">
        <v>391</v>
      </c>
      <c r="E10" s="18" t="s">
        <v>486</v>
      </c>
      <c r="F10" s="132">
        <v>104000</v>
      </c>
      <c r="G10" s="25"/>
      <c r="H10" s="17" t="s">
        <v>75</v>
      </c>
      <c r="I10" s="98"/>
      <c r="J10" s="102"/>
      <c r="K10" s="17"/>
    </row>
    <row r="11" spans="1:11">
      <c r="A11" s="163">
        <v>5</v>
      </c>
      <c r="B11" s="98"/>
      <c r="C11" s="17">
        <v>7580</v>
      </c>
      <c r="D11" s="130">
        <v>45649</v>
      </c>
      <c r="E11" s="18" t="s">
        <v>145</v>
      </c>
      <c r="F11" s="132">
        <v>85000</v>
      </c>
      <c r="G11" s="25"/>
      <c r="H11" s="17" t="s">
        <v>75</v>
      </c>
      <c r="I11" s="98"/>
      <c r="J11" s="102"/>
      <c r="K11" s="17"/>
    </row>
    <row r="12" spans="1:11">
      <c r="A12" s="98">
        <v>6</v>
      </c>
      <c r="B12" s="98"/>
      <c r="C12" s="98">
        <v>9551</v>
      </c>
      <c r="D12" s="135">
        <v>45883</v>
      </c>
      <c r="E12" s="99" t="s">
        <v>670</v>
      </c>
      <c r="F12" s="100">
        <v>48000</v>
      </c>
      <c r="G12" s="101"/>
      <c r="H12" s="98" t="s">
        <v>105</v>
      </c>
      <c r="I12" s="98"/>
      <c r="J12" s="102"/>
      <c r="K12" s="17"/>
    </row>
    <row r="13" spans="1:11">
      <c r="A13" s="98">
        <v>7</v>
      </c>
      <c r="B13" s="98"/>
      <c r="C13" s="98">
        <v>9762</v>
      </c>
      <c r="D13" s="135">
        <v>45914</v>
      </c>
      <c r="E13" s="99" t="s">
        <v>670</v>
      </c>
      <c r="F13" s="100">
        <v>43000</v>
      </c>
      <c r="G13" s="101"/>
      <c r="H13" s="98" t="s">
        <v>105</v>
      </c>
      <c r="I13" s="98"/>
      <c r="J13" s="102"/>
      <c r="K13" s="17"/>
    </row>
    <row r="14" spans="1:11" ht="52.2">
      <c r="A14" s="163">
        <v>8</v>
      </c>
      <c r="B14" s="98"/>
      <c r="C14" s="98">
        <v>9875</v>
      </c>
      <c r="D14" s="135">
        <v>45927</v>
      </c>
      <c r="E14" s="99" t="s">
        <v>1035</v>
      </c>
      <c r="F14" s="100">
        <v>205000</v>
      </c>
      <c r="G14" s="101"/>
      <c r="H14" s="98" t="s">
        <v>105</v>
      </c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00"/>
      <c r="G15" s="101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00"/>
      <c r="G16" s="101"/>
      <c r="H16" s="98"/>
      <c r="I16" s="98"/>
      <c r="J16" s="102"/>
      <c r="K16" s="17"/>
    </row>
    <row r="17" spans="1:11">
      <c r="A17" s="163">
        <v>11</v>
      </c>
      <c r="B17" s="98"/>
      <c r="C17" s="98"/>
      <c r="D17" s="98"/>
      <c r="E17" s="99"/>
      <c r="F17" s="100"/>
      <c r="G17" s="101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00"/>
      <c r="G18" s="101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00"/>
      <c r="G19" s="101"/>
      <c r="H19" s="98"/>
      <c r="I19" s="98"/>
      <c r="J19" s="102"/>
      <c r="K19" s="17"/>
    </row>
    <row r="20" spans="1:11">
      <c r="A20" s="163">
        <v>14</v>
      </c>
      <c r="B20" s="98"/>
      <c r="C20" s="98"/>
      <c r="D20" s="98"/>
      <c r="E20" s="99"/>
      <c r="F20" s="100"/>
      <c r="G20" s="101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163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163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163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163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163">
        <v>29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103"/>
      <c r="B36" s="206" t="s">
        <v>98</v>
      </c>
      <c r="C36" s="206"/>
      <c r="D36" s="103"/>
      <c r="E36" s="104"/>
      <c r="F36" s="105">
        <f>SUM(F7:F35)</f>
        <v>3316000</v>
      </c>
      <c r="G36" s="106">
        <f>SUM(G7:G35)</f>
        <v>0</v>
      </c>
      <c r="H36" s="103"/>
      <c r="I36" s="103"/>
      <c r="J36" s="107"/>
      <c r="K36" s="108"/>
    </row>
    <row r="37" spans="1:11">
      <c r="A37" s="109"/>
      <c r="B37" s="109"/>
      <c r="C37" s="109"/>
      <c r="D37" s="109"/>
      <c r="E37" s="110"/>
      <c r="F37" s="111"/>
      <c r="G37" s="112"/>
      <c r="H37" s="109"/>
      <c r="I37" s="109"/>
      <c r="J37" s="113"/>
    </row>
    <row r="38" spans="1:11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11"/>
      <c r="G73" s="112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11"/>
      <c r="G74" s="112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11"/>
      <c r="G75" s="112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11"/>
      <c r="G76" s="112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11"/>
      <c r="G77" s="112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11"/>
      <c r="G78" s="112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11"/>
      <c r="G79" s="112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11"/>
      <c r="G80" s="112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11"/>
      <c r="G81" s="112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11"/>
      <c r="G82" s="112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11"/>
      <c r="G83" s="112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11"/>
      <c r="G84" s="112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11"/>
      <c r="G85" s="112"/>
      <c r="H85" s="109"/>
      <c r="I85" s="109"/>
      <c r="J85" s="113"/>
    </row>
    <row r="86" spans="1:10">
      <c r="J86" s="115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10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8.6640625" style="1" customWidth="1"/>
    <col min="3" max="3" width="12.77734375" style="1" bestFit="1" customWidth="1"/>
    <col min="4" max="4" width="11.5546875" style="1" bestFit="1" customWidth="1"/>
    <col min="5" max="5" width="11.109375" style="73" bestFit="1" customWidth="1"/>
    <col min="6" max="6" width="8.33203125" style="78" bestFit="1" customWidth="1"/>
    <col min="7" max="7" width="6.21875" style="122" bestFit="1" customWidth="1"/>
    <col min="8" max="8" width="13.44140625" style="1" bestFit="1" customWidth="1"/>
    <col min="9" max="9" width="10.21875" style="1" bestFit="1" customWidth="1"/>
    <col min="10" max="10" width="4.77734375" style="1" bestFit="1" customWidth="1"/>
    <col min="11" max="11" width="12.3320312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15</v>
      </c>
      <c r="B2" s="202" t="s">
        <v>840</v>
      </c>
      <c r="C2" s="203"/>
      <c r="D2" s="85"/>
      <c r="E2" s="86" t="s">
        <v>8</v>
      </c>
      <c r="F2" s="17">
        <v>2025</v>
      </c>
      <c r="G2" s="89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7" t="s">
        <v>694</v>
      </c>
      <c r="D3" s="89"/>
      <c r="E3" s="86" t="s">
        <v>68</v>
      </c>
      <c r="F3" s="35" t="s">
        <v>692</v>
      </c>
      <c r="G3" s="89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35"/>
      <c r="G4" s="81"/>
      <c r="H4" s="81"/>
      <c r="I4" s="17"/>
      <c r="J4" s="81"/>
      <c r="K4" s="17"/>
    </row>
    <row r="5" spans="1:11" ht="34.799999999999997">
      <c r="A5" s="35"/>
      <c r="B5" s="81" t="s">
        <v>855</v>
      </c>
      <c r="C5" s="35" t="s">
        <v>847</v>
      </c>
      <c r="D5" s="89"/>
      <c r="E5" s="86" t="s">
        <v>95</v>
      </c>
      <c r="F5" s="166"/>
      <c r="G5" s="81"/>
      <c r="H5" s="81" t="s">
        <v>96</v>
      </c>
      <c r="I5" s="117">
        <f>MAX(J7:J141)</f>
        <v>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17">
        <v>1</v>
      </c>
      <c r="B7" s="143" t="s">
        <v>1048</v>
      </c>
      <c r="C7" s="143"/>
      <c r="D7" s="144">
        <v>45939</v>
      </c>
      <c r="E7" s="143" t="s">
        <v>670</v>
      </c>
      <c r="F7" s="145"/>
      <c r="G7" s="116"/>
      <c r="H7" s="17" t="s">
        <v>1048</v>
      </c>
      <c r="I7" s="81"/>
      <c r="J7" s="23"/>
      <c r="K7" s="81" t="s">
        <v>1049</v>
      </c>
    </row>
    <row r="8" spans="1:11">
      <c r="A8" s="17">
        <v>3</v>
      </c>
      <c r="B8" s="143"/>
      <c r="C8" s="143"/>
      <c r="D8" s="144"/>
      <c r="E8" s="143"/>
      <c r="F8" s="145"/>
      <c r="G8" s="116"/>
      <c r="H8" s="17"/>
      <c r="I8" s="17"/>
      <c r="J8" s="117"/>
      <c r="K8" s="17"/>
    </row>
    <row r="9" spans="1:11">
      <c r="A9" s="17">
        <v>4</v>
      </c>
      <c r="B9" s="143"/>
      <c r="C9" s="143"/>
      <c r="D9" s="144"/>
      <c r="E9" s="143"/>
      <c r="F9" s="145"/>
      <c r="G9" s="116"/>
      <c r="H9" s="17"/>
      <c r="I9" s="17"/>
      <c r="J9" s="117"/>
      <c r="K9" s="17"/>
    </row>
    <row r="10" spans="1:11">
      <c r="A10" s="17">
        <v>5</v>
      </c>
      <c r="B10" s="143"/>
      <c r="C10" s="143"/>
      <c r="D10" s="144"/>
      <c r="E10" s="143"/>
      <c r="F10" s="145"/>
      <c r="G10" s="116"/>
      <c r="H10" s="17"/>
      <c r="I10" s="17"/>
      <c r="J10" s="117"/>
      <c r="K10" s="17"/>
    </row>
    <row r="11" spans="1:11">
      <c r="A11" s="17">
        <v>6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7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6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31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7">
        <v>32</v>
      </c>
      <c r="B37" s="17"/>
      <c r="C37" s="17"/>
      <c r="D37" s="17"/>
      <c r="E37" s="18"/>
      <c r="F37" s="24"/>
      <c r="G37" s="116"/>
      <c r="H37" s="17"/>
      <c r="I37" s="17"/>
      <c r="J37" s="117"/>
      <c r="K37" s="17"/>
    </row>
    <row r="38" spans="1:11">
      <c r="A38" s="17">
        <v>33</v>
      </c>
      <c r="B38" s="17"/>
      <c r="C38" s="17"/>
      <c r="D38" s="17"/>
      <c r="E38" s="18"/>
      <c r="F38" s="24"/>
      <c r="G38" s="116"/>
      <c r="H38" s="17"/>
      <c r="I38" s="17"/>
      <c r="J38" s="117"/>
      <c r="K38" s="17"/>
    </row>
    <row r="39" spans="1:11">
      <c r="A39" s="17">
        <v>34</v>
      </c>
      <c r="B39" s="17"/>
      <c r="C39" s="17"/>
      <c r="D39" s="17"/>
      <c r="E39" s="18"/>
      <c r="F39" s="24"/>
      <c r="G39" s="116"/>
      <c r="H39" s="17"/>
      <c r="I39" s="17"/>
      <c r="J39" s="117"/>
      <c r="K39" s="17"/>
    </row>
    <row r="40" spans="1:11">
      <c r="A40" s="17">
        <v>35</v>
      </c>
      <c r="B40" s="17"/>
      <c r="C40" s="17"/>
      <c r="D40" s="17"/>
      <c r="E40" s="18"/>
      <c r="F40" s="24"/>
      <c r="G40" s="116"/>
      <c r="H40" s="17"/>
      <c r="I40" s="17"/>
      <c r="J40" s="117"/>
      <c r="K40" s="17"/>
    </row>
    <row r="41" spans="1:11">
      <c r="A41" s="17">
        <v>36</v>
      </c>
      <c r="B41" s="17"/>
      <c r="C41" s="17"/>
      <c r="D41" s="17"/>
      <c r="E41" s="18"/>
      <c r="F41" s="24"/>
      <c r="G41" s="116"/>
      <c r="H41" s="17"/>
      <c r="I41" s="17"/>
      <c r="J41" s="117"/>
      <c r="K41" s="17"/>
    </row>
    <row r="42" spans="1:11">
      <c r="A42" s="17">
        <v>37</v>
      </c>
      <c r="B42" s="17"/>
      <c r="C42" s="17"/>
      <c r="D42" s="17"/>
      <c r="E42" s="18"/>
      <c r="F42" s="24"/>
      <c r="G42" s="116"/>
      <c r="H42" s="17"/>
      <c r="I42" s="17"/>
      <c r="J42" s="117"/>
      <c r="K42" s="17"/>
    </row>
    <row r="43" spans="1:11">
      <c r="A43" s="17">
        <v>38</v>
      </c>
      <c r="B43" s="17"/>
      <c r="C43" s="17"/>
      <c r="D43" s="17"/>
      <c r="E43" s="18"/>
      <c r="F43" s="24"/>
      <c r="G43" s="116"/>
      <c r="H43" s="17"/>
      <c r="I43" s="17"/>
      <c r="J43" s="117"/>
      <c r="K43" s="17"/>
    </row>
    <row r="44" spans="1:11">
      <c r="A44" s="17">
        <v>39</v>
      </c>
      <c r="B44" s="17"/>
      <c r="C44" s="17"/>
      <c r="D44" s="17"/>
      <c r="E44" s="18"/>
      <c r="F44" s="24"/>
      <c r="G44" s="116"/>
      <c r="H44" s="17"/>
      <c r="I44" s="17"/>
      <c r="J44" s="117"/>
      <c r="K44" s="17"/>
    </row>
    <row r="45" spans="1:11">
      <c r="A45" s="17">
        <v>40</v>
      </c>
      <c r="B45" s="17"/>
      <c r="C45" s="17"/>
      <c r="D45" s="17"/>
      <c r="E45" s="18"/>
      <c r="F45" s="24"/>
      <c r="G45" s="116"/>
      <c r="H45" s="17"/>
      <c r="I45" s="17"/>
      <c r="J45" s="117"/>
      <c r="K45" s="17"/>
    </row>
    <row r="46" spans="1:11">
      <c r="A46" s="17">
        <v>41</v>
      </c>
      <c r="B46" s="17"/>
      <c r="C46" s="17"/>
      <c r="D46" s="17"/>
      <c r="E46" s="18"/>
      <c r="F46" s="24"/>
      <c r="G46" s="116"/>
      <c r="H46" s="17"/>
      <c r="I46" s="17"/>
      <c r="J46" s="117"/>
      <c r="K46" s="17"/>
    </row>
    <row r="47" spans="1:11">
      <c r="A47" s="17">
        <v>42</v>
      </c>
      <c r="B47" s="17"/>
      <c r="C47" s="17"/>
      <c r="D47" s="17"/>
      <c r="E47" s="18"/>
      <c r="F47" s="24"/>
      <c r="G47" s="116"/>
      <c r="H47" s="17"/>
      <c r="I47" s="17"/>
      <c r="J47" s="117"/>
      <c r="K47" s="17"/>
    </row>
    <row r="48" spans="1:11">
      <c r="A48" s="17">
        <v>43</v>
      </c>
      <c r="B48" s="17"/>
      <c r="C48" s="17"/>
      <c r="D48" s="17"/>
      <c r="E48" s="18"/>
      <c r="F48" s="24"/>
      <c r="G48" s="116"/>
      <c r="H48" s="17"/>
      <c r="I48" s="17"/>
      <c r="J48" s="117"/>
      <c r="K48" s="17"/>
    </row>
    <row r="49" spans="1:11">
      <c r="A49" s="17">
        <v>44</v>
      </c>
      <c r="B49" s="17"/>
      <c r="C49" s="17"/>
      <c r="D49" s="17"/>
      <c r="E49" s="18"/>
      <c r="F49" s="24"/>
      <c r="G49" s="116"/>
      <c r="H49" s="17"/>
      <c r="I49" s="17"/>
      <c r="J49" s="117"/>
      <c r="K49" s="17"/>
    </row>
    <row r="50" spans="1:11">
      <c r="A50" s="17">
        <v>45</v>
      </c>
      <c r="B50" s="17"/>
      <c r="C50" s="17"/>
      <c r="D50" s="17"/>
      <c r="E50" s="18"/>
      <c r="F50" s="24"/>
      <c r="G50" s="116"/>
      <c r="H50" s="17"/>
      <c r="I50" s="17"/>
      <c r="J50" s="117"/>
      <c r="K50" s="17"/>
    </row>
    <row r="51" spans="1:11">
      <c r="A51" s="17">
        <v>46</v>
      </c>
      <c r="B51" s="17"/>
      <c r="C51" s="17"/>
      <c r="D51" s="17"/>
      <c r="E51" s="18"/>
      <c r="F51" s="24"/>
      <c r="G51" s="116"/>
      <c r="H51" s="17"/>
      <c r="I51" s="17"/>
      <c r="J51" s="117"/>
      <c r="K51" s="17"/>
    </row>
    <row r="52" spans="1:11">
      <c r="A52" s="17">
        <v>47</v>
      </c>
      <c r="B52" s="17"/>
      <c r="C52" s="17"/>
      <c r="D52" s="17"/>
      <c r="E52" s="18"/>
      <c r="F52" s="24"/>
      <c r="G52" s="116"/>
      <c r="H52" s="17"/>
      <c r="I52" s="17"/>
      <c r="J52" s="117"/>
      <c r="K52" s="17"/>
    </row>
    <row r="53" spans="1:11">
      <c r="A53" s="17">
        <v>48</v>
      </c>
      <c r="B53" s="17"/>
      <c r="C53" s="17"/>
      <c r="D53" s="17"/>
      <c r="E53" s="18"/>
      <c r="F53" s="24"/>
      <c r="G53" s="116"/>
      <c r="H53" s="17"/>
      <c r="I53" s="17"/>
      <c r="J53" s="117"/>
      <c r="K53" s="17"/>
    </row>
    <row r="54" spans="1:11">
      <c r="A54" s="17">
        <v>49</v>
      </c>
      <c r="B54" s="17"/>
      <c r="C54" s="17"/>
      <c r="D54" s="17"/>
      <c r="E54" s="18"/>
      <c r="F54" s="24"/>
      <c r="G54" s="116"/>
      <c r="H54" s="17"/>
      <c r="I54" s="17"/>
      <c r="J54" s="117"/>
      <c r="K54" s="17"/>
    </row>
    <row r="55" spans="1:11">
      <c r="A55" s="17">
        <v>50</v>
      </c>
      <c r="B55" s="17"/>
      <c r="C55" s="17"/>
      <c r="D55" s="17"/>
      <c r="E55" s="18"/>
      <c r="F55" s="24"/>
      <c r="G55" s="116"/>
      <c r="H55" s="17"/>
      <c r="I55" s="17"/>
      <c r="J55" s="117"/>
      <c r="K55" s="17"/>
    </row>
    <row r="56" spans="1:11">
      <c r="A56" s="17">
        <v>51</v>
      </c>
      <c r="B56" s="17"/>
      <c r="C56" s="17"/>
      <c r="D56" s="17"/>
      <c r="E56" s="18"/>
      <c r="F56" s="24"/>
      <c r="G56" s="116"/>
      <c r="H56" s="17"/>
      <c r="I56" s="17"/>
      <c r="J56" s="117"/>
      <c r="K56" s="17"/>
    </row>
    <row r="57" spans="1:11">
      <c r="A57" s="17">
        <v>52</v>
      </c>
      <c r="B57" s="17"/>
      <c r="C57" s="17"/>
      <c r="D57" s="17"/>
      <c r="E57" s="18"/>
      <c r="F57" s="24"/>
      <c r="G57" s="116"/>
      <c r="H57" s="17"/>
      <c r="I57" s="17"/>
      <c r="J57" s="117"/>
      <c r="K57" s="17"/>
    </row>
    <row r="58" spans="1:11">
      <c r="A58" s="17">
        <v>53</v>
      </c>
      <c r="B58" s="17"/>
      <c r="C58" s="17"/>
      <c r="D58" s="17"/>
      <c r="E58" s="18"/>
      <c r="F58" s="24"/>
      <c r="G58" s="116"/>
      <c r="H58" s="17"/>
      <c r="I58" s="17"/>
      <c r="J58" s="117"/>
      <c r="K58" s="17"/>
    </row>
    <row r="59" spans="1:11">
      <c r="A59" s="17">
        <v>54</v>
      </c>
      <c r="B59" s="17"/>
      <c r="C59" s="17"/>
      <c r="D59" s="17"/>
      <c r="E59" s="18"/>
      <c r="F59" s="24"/>
      <c r="G59" s="116"/>
      <c r="H59" s="17"/>
      <c r="I59" s="17"/>
      <c r="J59" s="117"/>
      <c r="K59" s="17"/>
    </row>
    <row r="60" spans="1:11">
      <c r="A60" s="17">
        <v>55</v>
      </c>
      <c r="B60" s="17"/>
      <c r="C60" s="17"/>
      <c r="D60" s="17"/>
      <c r="E60" s="18"/>
      <c r="F60" s="24"/>
      <c r="G60" s="116"/>
      <c r="H60" s="17"/>
      <c r="I60" s="17"/>
      <c r="J60" s="117"/>
      <c r="K60" s="17"/>
    </row>
    <row r="61" spans="1:11">
      <c r="A61" s="17">
        <v>56</v>
      </c>
      <c r="B61" s="17"/>
      <c r="C61" s="17"/>
      <c r="D61" s="17"/>
      <c r="E61" s="18"/>
      <c r="F61" s="24"/>
      <c r="G61" s="116"/>
      <c r="H61" s="17"/>
      <c r="I61" s="17"/>
      <c r="J61" s="117"/>
      <c r="K61" s="17"/>
    </row>
    <row r="62" spans="1:11">
      <c r="A62" s="17">
        <v>57</v>
      </c>
      <c r="B62" s="17"/>
      <c r="C62" s="17"/>
      <c r="D62" s="17"/>
      <c r="E62" s="18"/>
      <c r="F62" s="24"/>
      <c r="G62" s="116"/>
      <c r="H62" s="17"/>
      <c r="I62" s="17"/>
      <c r="J62" s="117"/>
      <c r="K62" s="17"/>
    </row>
    <row r="63" spans="1:11">
      <c r="A63" s="17">
        <v>58</v>
      </c>
      <c r="B63" s="17"/>
      <c r="C63" s="17"/>
      <c r="D63" s="17"/>
      <c r="E63" s="18"/>
      <c r="F63" s="24"/>
      <c r="G63" s="116"/>
      <c r="H63" s="17"/>
      <c r="I63" s="17"/>
      <c r="J63" s="117"/>
      <c r="K63" s="17"/>
    </row>
    <row r="64" spans="1:11">
      <c r="A64" s="17">
        <v>59</v>
      </c>
      <c r="B64" s="17"/>
      <c r="C64" s="17"/>
      <c r="D64" s="17"/>
      <c r="E64" s="18"/>
      <c r="F64" s="24"/>
      <c r="G64" s="116"/>
      <c r="H64" s="17"/>
      <c r="I64" s="17"/>
      <c r="J64" s="117"/>
      <c r="K64" s="17"/>
    </row>
    <row r="65" spans="1:11">
      <c r="A65" s="17">
        <v>60</v>
      </c>
      <c r="B65" s="17"/>
      <c r="C65" s="17"/>
      <c r="D65" s="17"/>
      <c r="E65" s="18"/>
      <c r="F65" s="24"/>
      <c r="G65" s="116"/>
      <c r="H65" s="17"/>
      <c r="I65" s="17"/>
      <c r="J65" s="117"/>
      <c r="K65" s="17"/>
    </row>
    <row r="66" spans="1:11">
      <c r="A66" s="17">
        <v>61</v>
      </c>
      <c r="B66" s="17"/>
      <c r="C66" s="17"/>
      <c r="D66" s="17"/>
      <c r="E66" s="18"/>
      <c r="F66" s="24"/>
      <c r="G66" s="116"/>
      <c r="H66" s="17"/>
      <c r="I66" s="17"/>
      <c r="J66" s="117"/>
      <c r="K66" s="17"/>
    </row>
    <row r="67" spans="1:11">
      <c r="A67" s="17">
        <v>62</v>
      </c>
      <c r="B67" s="17"/>
      <c r="C67" s="17"/>
      <c r="D67" s="17"/>
      <c r="E67" s="18"/>
      <c r="F67" s="24"/>
      <c r="G67" s="116"/>
      <c r="H67" s="17"/>
      <c r="I67" s="17"/>
      <c r="J67" s="117"/>
      <c r="K67" s="17"/>
    </row>
    <row r="68" spans="1:11">
      <c r="A68" s="17">
        <v>63</v>
      </c>
      <c r="B68" s="17"/>
      <c r="C68" s="17"/>
      <c r="D68" s="17"/>
      <c r="E68" s="18"/>
      <c r="F68" s="24"/>
      <c r="G68" s="116"/>
      <c r="H68" s="17"/>
      <c r="I68" s="17"/>
      <c r="J68" s="117"/>
      <c r="K68" s="17"/>
    </row>
    <row r="69" spans="1:11">
      <c r="A69" s="17">
        <v>64</v>
      </c>
      <c r="B69" s="17"/>
      <c r="C69" s="17"/>
      <c r="D69" s="17"/>
      <c r="E69" s="18"/>
      <c r="F69" s="24"/>
      <c r="G69" s="116"/>
      <c r="H69" s="17"/>
      <c r="I69" s="17"/>
      <c r="J69" s="117"/>
      <c r="K69" s="17"/>
    </row>
    <row r="70" spans="1:11">
      <c r="A70" s="17">
        <v>65</v>
      </c>
      <c r="B70" s="17"/>
      <c r="C70" s="17"/>
      <c r="D70" s="17"/>
      <c r="E70" s="18"/>
      <c r="F70" s="24"/>
      <c r="G70" s="116"/>
      <c r="H70" s="17"/>
      <c r="I70" s="17"/>
      <c r="J70" s="117"/>
      <c r="K70" s="17"/>
    </row>
    <row r="71" spans="1:11">
      <c r="A71" s="17">
        <v>66</v>
      </c>
      <c r="B71" s="17"/>
      <c r="C71" s="17"/>
      <c r="D71" s="17"/>
      <c r="E71" s="18"/>
      <c r="F71" s="24"/>
      <c r="G71" s="116"/>
      <c r="H71" s="17"/>
      <c r="I71" s="17"/>
      <c r="J71" s="117"/>
      <c r="K71" s="17"/>
    </row>
    <row r="72" spans="1:11">
      <c r="A72" s="17">
        <v>67</v>
      </c>
      <c r="B72" s="17"/>
      <c r="C72" s="17"/>
      <c r="D72" s="17"/>
      <c r="E72" s="18"/>
      <c r="F72" s="24"/>
      <c r="G72" s="116"/>
      <c r="H72" s="17"/>
      <c r="I72" s="17"/>
      <c r="J72" s="117"/>
      <c r="K72" s="17"/>
    </row>
    <row r="73" spans="1:11">
      <c r="A73" s="17">
        <v>68</v>
      </c>
      <c r="B73" s="17"/>
      <c r="C73" s="17"/>
      <c r="D73" s="17"/>
      <c r="E73" s="18"/>
      <c r="F73" s="24"/>
      <c r="G73" s="116"/>
      <c r="H73" s="17"/>
      <c r="I73" s="17"/>
      <c r="J73" s="117"/>
      <c r="K73" s="17"/>
    </row>
    <row r="74" spans="1:11">
      <c r="A74" s="17">
        <v>69</v>
      </c>
      <c r="B74" s="17"/>
      <c r="C74" s="17"/>
      <c r="D74" s="17"/>
      <c r="E74" s="18"/>
      <c r="F74" s="24"/>
      <c r="G74" s="116"/>
      <c r="H74" s="17"/>
      <c r="I74" s="17"/>
      <c r="J74" s="117"/>
      <c r="K74" s="17"/>
    </row>
    <row r="75" spans="1:11">
      <c r="A75" s="17">
        <v>70</v>
      </c>
      <c r="B75" s="17"/>
      <c r="C75" s="17"/>
      <c r="D75" s="17"/>
      <c r="E75" s="18"/>
      <c r="F75" s="24"/>
      <c r="G75" s="116"/>
      <c r="H75" s="17"/>
      <c r="I75" s="17"/>
      <c r="J75" s="117"/>
      <c r="K75" s="17"/>
    </row>
    <row r="76" spans="1:11">
      <c r="A76" s="17">
        <v>71</v>
      </c>
      <c r="B76" s="17"/>
      <c r="C76" s="17"/>
      <c r="D76" s="17"/>
      <c r="E76" s="18"/>
      <c r="F76" s="24"/>
      <c r="G76" s="116"/>
      <c r="H76" s="17"/>
      <c r="I76" s="17"/>
      <c r="J76" s="117"/>
      <c r="K76" s="17"/>
    </row>
    <row r="77" spans="1:11">
      <c r="A77" s="17">
        <v>72</v>
      </c>
      <c r="B77" s="17"/>
      <c r="C77" s="17"/>
      <c r="D77" s="17"/>
      <c r="E77" s="18"/>
      <c r="F77" s="24"/>
      <c r="G77" s="116"/>
      <c r="H77" s="17"/>
      <c r="I77" s="17"/>
      <c r="J77" s="117"/>
      <c r="K77" s="17"/>
    </row>
    <row r="78" spans="1:11">
      <c r="A78" s="17">
        <v>73</v>
      </c>
      <c r="B78" s="17"/>
      <c r="C78" s="17"/>
      <c r="D78" s="17"/>
      <c r="E78" s="18"/>
      <c r="F78" s="24"/>
      <c r="G78" s="116"/>
      <c r="H78" s="17"/>
      <c r="I78" s="17"/>
      <c r="J78" s="117"/>
      <c r="K78" s="17"/>
    </row>
    <row r="79" spans="1:11">
      <c r="A79" s="17">
        <v>74</v>
      </c>
      <c r="B79" s="17"/>
      <c r="C79" s="17"/>
      <c r="D79" s="17"/>
      <c r="E79" s="18"/>
      <c r="F79" s="24"/>
      <c r="G79" s="116"/>
      <c r="H79" s="17"/>
      <c r="I79" s="17"/>
      <c r="J79" s="117"/>
      <c r="K79" s="17"/>
    </row>
    <row r="80" spans="1:11">
      <c r="A80" s="17">
        <v>75</v>
      </c>
      <c r="B80" s="17"/>
      <c r="C80" s="17"/>
      <c r="D80" s="17"/>
      <c r="E80" s="18"/>
      <c r="F80" s="24"/>
      <c r="G80" s="116"/>
      <c r="H80" s="17"/>
      <c r="I80" s="17"/>
      <c r="J80" s="117"/>
      <c r="K80" s="17"/>
    </row>
    <row r="81" spans="1:11">
      <c r="A81" s="17">
        <v>76</v>
      </c>
      <c r="B81" s="17"/>
      <c r="C81" s="17"/>
      <c r="D81" s="17"/>
      <c r="E81" s="18"/>
      <c r="F81" s="24"/>
      <c r="G81" s="116"/>
      <c r="H81" s="17"/>
      <c r="I81" s="17"/>
      <c r="J81" s="117"/>
      <c r="K81" s="17"/>
    </row>
    <row r="82" spans="1:11">
      <c r="A82" s="17">
        <v>77</v>
      </c>
      <c r="B82" s="17"/>
      <c r="C82" s="17"/>
      <c r="D82" s="17"/>
      <c r="E82" s="18"/>
      <c r="F82" s="24"/>
      <c r="G82" s="116"/>
      <c r="H82" s="17"/>
      <c r="I82" s="17"/>
      <c r="J82" s="117"/>
      <c r="K82" s="17"/>
    </row>
    <row r="83" spans="1:11">
      <c r="A83" s="17">
        <v>78</v>
      </c>
      <c r="B83" s="17"/>
      <c r="C83" s="17"/>
      <c r="D83" s="17"/>
      <c r="E83" s="18"/>
      <c r="F83" s="24"/>
      <c r="G83" s="116"/>
      <c r="H83" s="17"/>
      <c r="I83" s="17"/>
      <c r="J83" s="117"/>
      <c r="K83" s="17"/>
    </row>
    <row r="84" spans="1:11">
      <c r="A84" s="17">
        <v>79</v>
      </c>
      <c r="B84" s="17"/>
      <c r="C84" s="17"/>
      <c r="D84" s="17"/>
      <c r="E84" s="18"/>
      <c r="F84" s="24"/>
      <c r="G84" s="116"/>
      <c r="H84" s="17"/>
      <c r="I84" s="17"/>
      <c r="J84" s="117"/>
      <c r="K84" s="17"/>
    </row>
    <row r="85" spans="1:11">
      <c r="A85" s="17">
        <v>80</v>
      </c>
      <c r="B85" s="17"/>
      <c r="C85" s="17"/>
      <c r="D85" s="17"/>
      <c r="E85" s="18"/>
      <c r="F85" s="24"/>
      <c r="G85" s="116"/>
      <c r="H85" s="17"/>
      <c r="I85" s="17"/>
      <c r="J85" s="117"/>
      <c r="K85" s="17"/>
    </row>
    <row r="86" spans="1:11">
      <c r="A86" s="17">
        <v>81</v>
      </c>
      <c r="B86" s="17"/>
      <c r="C86" s="17"/>
      <c r="D86" s="17"/>
      <c r="E86" s="18"/>
      <c r="F86" s="24"/>
      <c r="G86" s="116"/>
      <c r="H86" s="17"/>
      <c r="I86" s="17"/>
      <c r="J86" s="117"/>
      <c r="K86" s="17"/>
    </row>
    <row r="87" spans="1:11">
      <c r="A87" s="17">
        <v>82</v>
      </c>
      <c r="B87" s="17"/>
      <c r="C87" s="17"/>
      <c r="D87" s="17"/>
      <c r="E87" s="18"/>
      <c r="F87" s="24"/>
      <c r="G87" s="116"/>
      <c r="H87" s="17"/>
      <c r="I87" s="17"/>
      <c r="J87" s="117"/>
      <c r="K87" s="17"/>
    </row>
    <row r="88" spans="1:11">
      <c r="A88" s="17">
        <v>83</v>
      </c>
      <c r="B88" s="17"/>
      <c r="C88" s="17"/>
      <c r="D88" s="17"/>
      <c r="E88" s="18"/>
      <c r="F88" s="24"/>
      <c r="G88" s="116"/>
      <c r="H88" s="17"/>
      <c r="I88" s="17"/>
      <c r="J88" s="117"/>
      <c r="K88" s="17"/>
    </row>
    <row r="89" spans="1:11">
      <c r="A89" s="17">
        <v>84</v>
      </c>
      <c r="B89" s="17"/>
      <c r="C89" s="17"/>
      <c r="D89" s="17"/>
      <c r="E89" s="18"/>
      <c r="F89" s="24"/>
      <c r="G89" s="116"/>
      <c r="H89" s="17"/>
      <c r="I89" s="17"/>
      <c r="J89" s="117"/>
      <c r="K89" s="17"/>
    </row>
    <row r="90" spans="1:11">
      <c r="A90" s="17">
        <v>85</v>
      </c>
      <c r="B90" s="17"/>
      <c r="C90" s="17"/>
      <c r="D90" s="17"/>
      <c r="E90" s="18"/>
      <c r="F90" s="24"/>
      <c r="G90" s="116"/>
      <c r="H90" s="17"/>
      <c r="I90" s="17"/>
      <c r="J90" s="117"/>
      <c r="K90" s="17"/>
    </row>
    <row r="91" spans="1:11">
      <c r="A91" s="17">
        <v>86</v>
      </c>
      <c r="B91" s="17"/>
      <c r="C91" s="17"/>
      <c r="D91" s="17"/>
      <c r="E91" s="18"/>
      <c r="F91" s="24"/>
      <c r="G91" s="116"/>
      <c r="H91" s="17"/>
      <c r="I91" s="17"/>
      <c r="J91" s="117"/>
      <c r="K91" s="17"/>
    </row>
    <row r="92" spans="1:11">
      <c r="A92" s="17">
        <v>87</v>
      </c>
      <c r="B92" s="17"/>
      <c r="C92" s="17"/>
      <c r="D92" s="17"/>
      <c r="E92" s="18"/>
      <c r="F92" s="24"/>
      <c r="G92" s="116"/>
      <c r="H92" s="17"/>
      <c r="I92" s="17"/>
      <c r="J92" s="117"/>
      <c r="K92" s="17"/>
    </row>
    <row r="93" spans="1:11">
      <c r="A93" s="17">
        <v>88</v>
      </c>
      <c r="B93" s="17"/>
      <c r="C93" s="17"/>
      <c r="D93" s="17"/>
      <c r="E93" s="18"/>
      <c r="F93" s="24"/>
      <c r="G93" s="116"/>
      <c r="H93" s="17"/>
      <c r="I93" s="17"/>
      <c r="J93" s="117"/>
      <c r="K93" s="17"/>
    </row>
    <row r="94" spans="1:11">
      <c r="A94" s="17">
        <v>89</v>
      </c>
      <c r="B94" s="17"/>
      <c r="C94" s="17"/>
      <c r="D94" s="17"/>
      <c r="E94" s="18"/>
      <c r="F94" s="24"/>
      <c r="G94" s="116"/>
      <c r="H94" s="17"/>
      <c r="I94" s="17"/>
      <c r="J94" s="117"/>
      <c r="K94" s="17"/>
    </row>
    <row r="95" spans="1:11">
      <c r="A95" s="17">
        <v>90</v>
      </c>
      <c r="B95" s="17"/>
      <c r="C95" s="17"/>
      <c r="D95" s="17"/>
      <c r="E95" s="18"/>
      <c r="F95" s="24"/>
      <c r="G95" s="116"/>
      <c r="H95" s="17"/>
      <c r="I95" s="17"/>
      <c r="J95" s="117"/>
      <c r="K95" s="17"/>
    </row>
    <row r="96" spans="1:11">
      <c r="A96" s="17">
        <v>91</v>
      </c>
      <c r="B96" s="17"/>
      <c r="C96" s="17"/>
      <c r="D96" s="17"/>
      <c r="E96" s="18"/>
      <c r="F96" s="24"/>
      <c r="G96" s="116"/>
      <c r="H96" s="17"/>
      <c r="I96" s="17"/>
      <c r="J96" s="117"/>
      <c r="K96" s="17"/>
    </row>
    <row r="97" spans="1:11">
      <c r="A97" s="17">
        <v>92</v>
      </c>
      <c r="B97" s="17"/>
      <c r="C97" s="17"/>
      <c r="D97" s="17"/>
      <c r="E97" s="18"/>
      <c r="F97" s="24"/>
      <c r="G97" s="116"/>
      <c r="H97" s="17"/>
      <c r="I97" s="17"/>
      <c r="J97" s="117"/>
      <c r="K97" s="17"/>
    </row>
    <row r="98" spans="1:11">
      <c r="A98" s="17">
        <v>93</v>
      </c>
      <c r="B98" s="17"/>
      <c r="C98" s="17"/>
      <c r="D98" s="17"/>
      <c r="E98" s="18"/>
      <c r="F98" s="24"/>
      <c r="G98" s="116"/>
      <c r="H98" s="17"/>
      <c r="I98" s="17"/>
      <c r="J98" s="117"/>
      <c r="K98" s="17"/>
    </row>
    <row r="99" spans="1:11">
      <c r="A99" s="17">
        <v>94</v>
      </c>
      <c r="B99" s="17"/>
      <c r="C99" s="17"/>
      <c r="D99" s="17"/>
      <c r="E99" s="18"/>
      <c r="F99" s="24"/>
      <c r="G99" s="116"/>
      <c r="H99" s="17"/>
      <c r="I99" s="17"/>
      <c r="J99" s="117"/>
      <c r="K99" s="17"/>
    </row>
    <row r="100" spans="1:11">
      <c r="A100" s="66"/>
      <c r="B100" s="66"/>
      <c r="C100" s="66"/>
      <c r="D100" s="66"/>
      <c r="E100" s="67"/>
      <c r="F100" s="71">
        <f>SUM(F7:F99)</f>
        <v>0</v>
      </c>
      <c r="G100" s="189">
        <f>SUM(G7:G99)</f>
        <v>0</v>
      </c>
      <c r="H100" s="66"/>
      <c r="I100" s="66"/>
      <c r="J100" s="190"/>
      <c r="K100" s="66"/>
    </row>
    <row r="101" spans="1:11">
      <c r="J101" s="115"/>
    </row>
    <row r="102" spans="1:11">
      <c r="J102" s="115"/>
    </row>
    <row r="103" spans="1:11">
      <c r="J103" s="115"/>
    </row>
    <row r="104" spans="1:11">
      <c r="J104" s="115"/>
    </row>
    <row r="105" spans="1:11">
      <c r="J105" s="115"/>
    </row>
    <row r="106" spans="1:11">
      <c r="J106" s="115"/>
    </row>
    <row r="107" spans="1:11">
      <c r="J107" s="115"/>
    </row>
    <row r="108" spans="1:11">
      <c r="J108" s="115"/>
    </row>
    <row r="109" spans="1:11">
      <c r="J109" s="115"/>
    </row>
    <row r="110" spans="1:11">
      <c r="J110" s="115"/>
    </row>
    <row r="111" spans="1:11">
      <c r="J111" s="115"/>
    </row>
    <row r="112" spans="1:11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2">
    <mergeCell ref="A1:K1"/>
    <mergeCell ref="B2:C2"/>
  </mergeCells>
  <hyperlinks>
    <hyperlink ref="K2" location="الاليات!A1" display="الاليات " xr:uid="{00000000-0004-0000-11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18"/>
  <sheetViews>
    <sheetView rightToLeft="1" zoomScaleNormal="100" workbookViewId="0">
      <selection activeCell="K2" sqref="K2"/>
    </sheetView>
  </sheetViews>
  <sheetFormatPr defaultColWidth="9.109375" defaultRowHeight="17.399999999999999"/>
  <cols>
    <col min="1" max="1" width="4.6640625" style="1" bestFit="1" customWidth="1"/>
    <col min="2" max="2" width="12.6640625" style="1" bestFit="1" customWidth="1"/>
    <col min="3" max="4" width="12.77734375" style="1" bestFit="1" customWidth="1"/>
    <col min="5" max="5" width="18.5546875" style="73" bestFit="1" customWidth="1"/>
    <col min="6" max="6" width="15.109375" style="78" bestFit="1" customWidth="1"/>
    <col min="7" max="7" width="6.21875" style="122" bestFit="1" customWidth="1"/>
    <col min="8" max="8" width="13.44140625" style="1" bestFit="1" customWidth="1"/>
    <col min="9" max="9" width="10.21875" style="1" bestFit="1" customWidth="1"/>
    <col min="10" max="10" width="4.77734375" style="1" bestFit="1" customWidth="1"/>
    <col min="11" max="11" width="9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16</v>
      </c>
      <c r="B2" s="202" t="s">
        <v>840</v>
      </c>
      <c r="C2" s="203"/>
      <c r="D2" s="85"/>
      <c r="E2" s="86" t="s">
        <v>8</v>
      </c>
      <c r="F2" s="17">
        <v>2025</v>
      </c>
      <c r="G2" s="191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695</v>
      </c>
      <c r="D3" s="89"/>
      <c r="E3" s="86" t="s">
        <v>68</v>
      </c>
      <c r="F3" s="35" t="s">
        <v>826</v>
      </c>
      <c r="G3" s="191"/>
      <c r="H3" s="89" t="s">
        <v>824</v>
      </c>
      <c r="I3" s="35" t="s">
        <v>75</v>
      </c>
      <c r="J3" s="81"/>
      <c r="K3" s="81"/>
    </row>
    <row r="4" spans="1:11">
      <c r="A4" s="35"/>
      <c r="B4" s="89"/>
      <c r="C4" s="89"/>
      <c r="D4" s="89"/>
      <c r="E4" s="86"/>
      <c r="F4" s="89"/>
      <c r="G4" s="192"/>
      <c r="H4" s="81"/>
      <c r="I4" s="81"/>
      <c r="J4" s="81"/>
      <c r="K4" s="17"/>
    </row>
    <row r="5" spans="1:11">
      <c r="A5" s="35"/>
      <c r="B5" s="81" t="s">
        <v>855</v>
      </c>
      <c r="C5" s="35" t="s">
        <v>847</v>
      </c>
      <c r="D5" s="89"/>
      <c r="E5" s="86" t="s">
        <v>95</v>
      </c>
      <c r="F5" s="37"/>
      <c r="G5" s="192"/>
      <c r="H5" s="81" t="s">
        <v>96</v>
      </c>
      <c r="I5" s="117">
        <f>MAX(J7:J141)</f>
        <v>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52.2">
      <c r="A7" s="81">
        <v>1</v>
      </c>
      <c r="B7" s="143"/>
      <c r="C7" s="143">
        <v>8981</v>
      </c>
      <c r="D7" s="144">
        <v>45813</v>
      </c>
      <c r="E7" s="143" t="s">
        <v>854</v>
      </c>
      <c r="F7" s="145">
        <v>269000</v>
      </c>
      <c r="G7" s="116"/>
      <c r="H7" s="17" t="s">
        <v>75</v>
      </c>
      <c r="I7" s="81"/>
      <c r="J7" s="23"/>
      <c r="K7" s="81"/>
    </row>
    <row r="8" spans="1:11">
      <c r="A8" s="17">
        <v>3</v>
      </c>
      <c r="B8" s="143"/>
      <c r="C8" s="143">
        <v>9203</v>
      </c>
      <c r="D8" s="144">
        <v>45848</v>
      </c>
      <c r="E8" s="143" t="s">
        <v>810</v>
      </c>
      <c r="F8" s="145">
        <v>48000</v>
      </c>
      <c r="G8" s="116"/>
      <c r="H8" s="17" t="s">
        <v>75</v>
      </c>
      <c r="I8" s="17"/>
      <c r="J8" s="117"/>
      <c r="K8" s="17"/>
    </row>
    <row r="9" spans="1:11" ht="34.799999999999997">
      <c r="A9" s="17">
        <v>4</v>
      </c>
      <c r="B9" s="143"/>
      <c r="C9" s="17">
        <v>9638</v>
      </c>
      <c r="D9" s="130">
        <v>45900</v>
      </c>
      <c r="E9" s="18" t="s">
        <v>1022</v>
      </c>
      <c r="F9" s="132">
        <v>110000</v>
      </c>
      <c r="G9" s="116"/>
      <c r="H9" s="17" t="s">
        <v>75</v>
      </c>
      <c r="I9" s="17"/>
      <c r="J9" s="117"/>
      <c r="K9" s="17"/>
    </row>
    <row r="10" spans="1:11" ht="52.2">
      <c r="A10" s="17">
        <v>5</v>
      </c>
      <c r="B10" s="143"/>
      <c r="C10" s="17">
        <v>9920</v>
      </c>
      <c r="D10" s="130">
        <v>45931</v>
      </c>
      <c r="E10" s="18" t="s">
        <v>1059</v>
      </c>
      <c r="F10" s="132">
        <v>416000</v>
      </c>
      <c r="G10" s="25"/>
      <c r="H10" s="17" t="s">
        <v>75</v>
      </c>
      <c r="I10" s="17"/>
      <c r="J10" s="117"/>
      <c r="K10" s="17"/>
    </row>
    <row r="11" spans="1:11">
      <c r="A11" s="17">
        <v>6</v>
      </c>
      <c r="B11" s="143"/>
      <c r="C11" s="17">
        <v>101</v>
      </c>
      <c r="D11" s="130" t="s">
        <v>1062</v>
      </c>
      <c r="E11" s="18" t="s">
        <v>670</v>
      </c>
      <c r="F11" s="132">
        <v>95000</v>
      </c>
      <c r="G11" s="25"/>
      <c r="H11" s="17" t="s">
        <v>75</v>
      </c>
      <c r="I11" s="17"/>
      <c r="J11" s="117"/>
      <c r="K11" s="17"/>
    </row>
    <row r="12" spans="1:11" ht="52.2">
      <c r="A12" s="17">
        <v>7</v>
      </c>
      <c r="B12" s="17"/>
      <c r="C12" s="17">
        <v>343</v>
      </c>
      <c r="D12" s="130">
        <v>45983</v>
      </c>
      <c r="E12" s="18" t="s">
        <v>1059</v>
      </c>
      <c r="F12" s="132">
        <v>210000</v>
      </c>
      <c r="G12" s="25"/>
      <c r="H12" s="17" t="s">
        <v>75</v>
      </c>
      <c r="I12" s="17"/>
      <c r="J12" s="117"/>
      <c r="K12" s="17"/>
    </row>
    <row r="13" spans="1:11">
      <c r="A13" s="17">
        <v>6</v>
      </c>
      <c r="B13" s="17"/>
      <c r="C13" s="17">
        <v>615</v>
      </c>
      <c r="D13" s="130">
        <v>46018</v>
      </c>
      <c r="E13" s="18" t="s">
        <v>1141</v>
      </c>
      <c r="F13" s="132">
        <v>94000</v>
      </c>
      <c r="G13" s="25">
        <v>220</v>
      </c>
      <c r="H13" s="117" t="s">
        <v>75</v>
      </c>
      <c r="I13" s="17"/>
      <c r="J13" s="117"/>
      <c r="K13" s="17"/>
    </row>
    <row r="14" spans="1:11">
      <c r="A14" s="17">
        <v>9</v>
      </c>
      <c r="B14" s="17"/>
      <c r="C14" s="17">
        <v>1093</v>
      </c>
      <c r="D14" s="130">
        <v>46086</v>
      </c>
      <c r="E14" s="18" t="s">
        <v>1240</v>
      </c>
      <c r="F14" s="24">
        <v>226320</v>
      </c>
      <c r="G14" s="116"/>
      <c r="H14" s="17" t="s">
        <v>75</v>
      </c>
      <c r="I14" s="17"/>
      <c r="J14" s="117"/>
      <c r="K14" s="17"/>
    </row>
    <row r="15" spans="1:11" ht="34.799999999999997">
      <c r="A15" s="17">
        <v>10</v>
      </c>
      <c r="B15" s="17"/>
      <c r="C15" s="17">
        <v>1281</v>
      </c>
      <c r="D15" s="17" t="s">
        <v>1256</v>
      </c>
      <c r="E15" s="18" t="s">
        <v>1269</v>
      </c>
      <c r="F15" s="132">
        <v>150000</v>
      </c>
      <c r="G15" s="116"/>
      <c r="H15" s="17" t="s">
        <v>75</v>
      </c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31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7">
        <v>32</v>
      </c>
      <c r="B37" s="17"/>
      <c r="C37" s="17"/>
      <c r="D37" s="17"/>
      <c r="E37" s="18"/>
      <c r="F37" s="24"/>
      <c r="G37" s="116"/>
      <c r="H37" s="17"/>
      <c r="I37" s="17"/>
      <c r="J37" s="117"/>
      <c r="K37" s="17"/>
    </row>
    <row r="38" spans="1:11">
      <c r="A38" s="17">
        <v>33</v>
      </c>
      <c r="B38" s="17"/>
      <c r="C38" s="17"/>
      <c r="D38" s="17"/>
      <c r="E38" s="18"/>
      <c r="F38" s="24"/>
      <c r="G38" s="116"/>
      <c r="H38" s="17"/>
      <c r="I38" s="17"/>
      <c r="J38" s="117"/>
      <c r="K38" s="17"/>
    </row>
    <row r="39" spans="1:11">
      <c r="A39" s="17">
        <v>34</v>
      </c>
      <c r="B39" s="17"/>
      <c r="C39" s="17"/>
      <c r="D39" s="17"/>
      <c r="E39" s="18"/>
      <c r="F39" s="24"/>
      <c r="G39" s="116"/>
      <c r="H39" s="17"/>
      <c r="I39" s="17"/>
      <c r="J39" s="117"/>
      <c r="K39" s="17"/>
    </row>
    <row r="40" spans="1:11">
      <c r="A40" s="17">
        <v>35</v>
      </c>
      <c r="B40" s="17"/>
      <c r="C40" s="17"/>
      <c r="D40" s="17"/>
      <c r="E40" s="18"/>
      <c r="F40" s="24"/>
      <c r="G40" s="116"/>
      <c r="H40" s="17"/>
      <c r="I40" s="17"/>
      <c r="J40" s="117"/>
      <c r="K40" s="17"/>
    </row>
    <row r="41" spans="1:11">
      <c r="A41" s="17">
        <v>36</v>
      </c>
      <c r="B41" s="17"/>
      <c r="C41" s="17"/>
      <c r="D41" s="17"/>
      <c r="E41" s="18"/>
      <c r="F41" s="24"/>
      <c r="G41" s="116"/>
      <c r="H41" s="17"/>
      <c r="I41" s="17"/>
      <c r="J41" s="117"/>
      <c r="K41" s="17"/>
    </row>
    <row r="42" spans="1:11">
      <c r="A42" s="17">
        <v>37</v>
      </c>
      <c r="B42" s="17"/>
      <c r="C42" s="17"/>
      <c r="D42" s="17"/>
      <c r="E42" s="18"/>
      <c r="F42" s="24"/>
      <c r="G42" s="116"/>
      <c r="H42" s="17"/>
      <c r="I42" s="17"/>
      <c r="J42" s="117"/>
      <c r="K42" s="17"/>
    </row>
    <row r="43" spans="1:11">
      <c r="A43" s="17">
        <v>38</v>
      </c>
      <c r="B43" s="17"/>
      <c r="C43" s="17"/>
      <c r="D43" s="17"/>
      <c r="E43" s="18"/>
      <c r="F43" s="24"/>
      <c r="G43" s="116"/>
      <c r="H43" s="17"/>
      <c r="I43" s="17"/>
      <c r="J43" s="117"/>
      <c r="K43" s="17"/>
    </row>
    <row r="44" spans="1:11">
      <c r="A44" s="17">
        <v>39</v>
      </c>
      <c r="B44" s="17"/>
      <c r="C44" s="17"/>
      <c r="D44" s="17"/>
      <c r="E44" s="18"/>
      <c r="F44" s="24"/>
      <c r="G44" s="116"/>
      <c r="H44" s="17"/>
      <c r="I44" s="17"/>
      <c r="J44" s="117"/>
      <c r="K44" s="17"/>
    </row>
    <row r="45" spans="1:11">
      <c r="A45" s="17">
        <v>40</v>
      </c>
      <c r="B45" s="17"/>
      <c r="C45" s="17"/>
      <c r="D45" s="17"/>
      <c r="E45" s="18"/>
      <c r="F45" s="24"/>
      <c r="G45" s="116"/>
      <c r="H45" s="17"/>
      <c r="I45" s="17"/>
      <c r="J45" s="117"/>
      <c r="K45" s="17"/>
    </row>
    <row r="46" spans="1:11">
      <c r="A46" s="17">
        <v>41</v>
      </c>
      <c r="B46" s="17"/>
      <c r="C46" s="17"/>
      <c r="D46" s="17"/>
      <c r="E46" s="18"/>
      <c r="F46" s="24"/>
      <c r="G46" s="116"/>
      <c r="H46" s="17"/>
      <c r="I46" s="17"/>
      <c r="J46" s="117"/>
      <c r="K46" s="17"/>
    </row>
    <row r="47" spans="1:11">
      <c r="A47" s="17">
        <v>42</v>
      </c>
      <c r="B47" s="17"/>
      <c r="C47" s="17"/>
      <c r="D47" s="17"/>
      <c r="E47" s="18"/>
      <c r="F47" s="24"/>
      <c r="G47" s="116"/>
      <c r="H47" s="17"/>
      <c r="I47" s="17"/>
      <c r="J47" s="117"/>
      <c r="K47" s="17"/>
    </row>
    <row r="48" spans="1:11">
      <c r="A48" s="17">
        <v>43</v>
      </c>
      <c r="B48" s="17"/>
      <c r="C48" s="17"/>
      <c r="D48" s="17"/>
      <c r="E48" s="18"/>
      <c r="F48" s="24"/>
      <c r="G48" s="116"/>
      <c r="H48" s="17"/>
      <c r="I48" s="17"/>
      <c r="J48" s="117"/>
      <c r="K48" s="17"/>
    </row>
    <row r="49" spans="1:11">
      <c r="A49" s="17">
        <v>44</v>
      </c>
      <c r="B49" s="17"/>
      <c r="C49" s="17"/>
      <c r="D49" s="17"/>
      <c r="E49" s="18"/>
      <c r="F49" s="24"/>
      <c r="G49" s="116"/>
      <c r="H49" s="17"/>
      <c r="I49" s="17"/>
      <c r="J49" s="117"/>
      <c r="K49" s="17"/>
    </row>
    <row r="50" spans="1:11">
      <c r="A50" s="17">
        <v>45</v>
      </c>
      <c r="B50" s="17"/>
      <c r="C50" s="17"/>
      <c r="D50" s="17"/>
      <c r="E50" s="18"/>
      <c r="F50" s="24"/>
      <c r="G50" s="116"/>
      <c r="H50" s="17"/>
      <c r="I50" s="17"/>
      <c r="J50" s="117"/>
      <c r="K50" s="17"/>
    </row>
    <row r="51" spans="1:11">
      <c r="A51" s="17">
        <v>46</v>
      </c>
      <c r="B51" s="17"/>
      <c r="C51" s="17"/>
      <c r="D51" s="17"/>
      <c r="E51" s="18"/>
      <c r="F51" s="24"/>
      <c r="G51" s="116"/>
      <c r="H51" s="17"/>
      <c r="I51" s="17"/>
      <c r="J51" s="117"/>
      <c r="K51" s="17"/>
    </row>
    <row r="52" spans="1:11">
      <c r="A52" s="17">
        <v>47</v>
      </c>
      <c r="B52" s="17"/>
      <c r="C52" s="17"/>
      <c r="D52" s="17"/>
      <c r="E52" s="18"/>
      <c r="F52" s="24"/>
      <c r="G52" s="116"/>
      <c r="H52" s="17"/>
      <c r="I52" s="17"/>
      <c r="J52" s="117"/>
      <c r="K52" s="17"/>
    </row>
    <row r="53" spans="1:11">
      <c r="A53" s="17">
        <v>48</v>
      </c>
      <c r="B53" s="17"/>
      <c r="C53" s="17"/>
      <c r="D53" s="17"/>
      <c r="E53" s="18"/>
      <c r="F53" s="24"/>
      <c r="G53" s="116"/>
      <c r="H53" s="17"/>
      <c r="I53" s="17"/>
      <c r="J53" s="117"/>
      <c r="K53" s="17"/>
    </row>
    <row r="54" spans="1:11">
      <c r="A54" s="17">
        <v>49</v>
      </c>
      <c r="B54" s="17"/>
      <c r="C54" s="17"/>
      <c r="D54" s="17"/>
      <c r="E54" s="18"/>
      <c r="F54" s="24"/>
      <c r="G54" s="116"/>
      <c r="H54" s="17"/>
      <c r="I54" s="17"/>
      <c r="J54" s="117"/>
      <c r="K54" s="17"/>
    </row>
    <row r="55" spans="1:11">
      <c r="A55" s="17">
        <v>50</v>
      </c>
      <c r="B55" s="17"/>
      <c r="C55" s="17"/>
      <c r="D55" s="17"/>
      <c r="E55" s="18"/>
      <c r="F55" s="24"/>
      <c r="G55" s="116"/>
      <c r="H55" s="17"/>
      <c r="I55" s="17"/>
      <c r="J55" s="117"/>
      <c r="K55" s="17"/>
    </row>
    <row r="56" spans="1:11">
      <c r="A56" s="17">
        <v>51</v>
      </c>
      <c r="B56" s="17"/>
      <c r="C56" s="17"/>
      <c r="D56" s="17"/>
      <c r="E56" s="18"/>
      <c r="F56" s="24"/>
      <c r="G56" s="116"/>
      <c r="H56" s="17"/>
      <c r="I56" s="17"/>
      <c r="J56" s="117"/>
      <c r="K56" s="17"/>
    </row>
    <row r="57" spans="1:11">
      <c r="A57" s="17">
        <v>52</v>
      </c>
      <c r="B57" s="17"/>
      <c r="C57" s="17"/>
      <c r="D57" s="17"/>
      <c r="E57" s="18"/>
      <c r="F57" s="24"/>
      <c r="G57" s="116"/>
      <c r="H57" s="17"/>
      <c r="I57" s="17"/>
      <c r="J57" s="117"/>
      <c r="K57" s="17"/>
    </row>
    <row r="58" spans="1:11">
      <c r="A58" s="17">
        <v>53</v>
      </c>
      <c r="B58" s="17"/>
      <c r="C58" s="17"/>
      <c r="D58" s="17"/>
      <c r="E58" s="18"/>
      <c r="F58" s="24"/>
      <c r="G58" s="116"/>
      <c r="H58" s="17"/>
      <c r="I58" s="17"/>
      <c r="J58" s="117"/>
      <c r="K58" s="17"/>
    </row>
    <row r="59" spans="1:11">
      <c r="A59" s="17">
        <v>54</v>
      </c>
      <c r="B59" s="17"/>
      <c r="C59" s="17"/>
      <c r="D59" s="17"/>
      <c r="E59" s="18"/>
      <c r="F59" s="24"/>
      <c r="G59" s="116"/>
      <c r="H59" s="17"/>
      <c r="I59" s="17"/>
      <c r="J59" s="117"/>
      <c r="K59" s="17"/>
    </row>
    <row r="60" spans="1:11">
      <c r="A60" s="17">
        <v>55</v>
      </c>
      <c r="B60" s="17"/>
      <c r="C60" s="17"/>
      <c r="D60" s="17"/>
      <c r="E60" s="18"/>
      <c r="F60" s="24"/>
      <c r="G60" s="116"/>
      <c r="H60" s="17"/>
      <c r="I60" s="17"/>
      <c r="J60" s="117"/>
      <c r="K60" s="17"/>
    </row>
    <row r="61" spans="1:11">
      <c r="A61" s="17">
        <v>56</v>
      </c>
      <c r="B61" s="17"/>
      <c r="C61" s="17"/>
      <c r="D61" s="17"/>
      <c r="E61" s="18"/>
      <c r="F61" s="24"/>
      <c r="G61" s="116"/>
      <c r="H61" s="17"/>
      <c r="I61" s="17"/>
      <c r="J61" s="117"/>
      <c r="K61" s="17"/>
    </row>
    <row r="62" spans="1:11">
      <c r="A62" s="17">
        <v>57</v>
      </c>
      <c r="B62" s="17"/>
      <c r="C62" s="17"/>
      <c r="D62" s="17"/>
      <c r="E62" s="18"/>
      <c r="F62" s="24"/>
      <c r="G62" s="116"/>
      <c r="H62" s="17"/>
      <c r="I62" s="17"/>
      <c r="J62" s="117"/>
      <c r="K62" s="17"/>
    </row>
    <row r="63" spans="1:11">
      <c r="A63" s="17">
        <v>58</v>
      </c>
      <c r="B63" s="17"/>
      <c r="C63" s="17"/>
      <c r="D63" s="17"/>
      <c r="E63" s="18"/>
      <c r="F63" s="24"/>
      <c r="G63" s="116"/>
      <c r="H63" s="17"/>
      <c r="I63" s="17"/>
      <c r="J63" s="117"/>
      <c r="K63" s="17"/>
    </row>
    <row r="64" spans="1:11">
      <c r="A64" s="17">
        <v>59</v>
      </c>
      <c r="B64" s="17"/>
      <c r="C64" s="17"/>
      <c r="D64" s="17"/>
      <c r="E64" s="18"/>
      <c r="F64" s="24"/>
      <c r="G64" s="116"/>
      <c r="H64" s="17"/>
      <c r="I64" s="17"/>
      <c r="J64" s="117"/>
      <c r="K64" s="17"/>
    </row>
    <row r="65" spans="1:11">
      <c r="A65" s="17">
        <v>60</v>
      </c>
      <c r="B65" s="17"/>
      <c r="C65" s="17"/>
      <c r="D65" s="17"/>
      <c r="E65" s="18"/>
      <c r="F65" s="24"/>
      <c r="G65" s="116"/>
      <c r="H65" s="17"/>
      <c r="I65" s="17"/>
      <c r="J65" s="117"/>
      <c r="K65" s="17"/>
    </row>
    <row r="66" spans="1:11">
      <c r="A66" s="17">
        <v>61</v>
      </c>
      <c r="B66" s="17"/>
      <c r="C66" s="17"/>
      <c r="D66" s="17"/>
      <c r="E66" s="18"/>
      <c r="F66" s="24"/>
      <c r="G66" s="116"/>
      <c r="H66" s="17"/>
      <c r="I66" s="17"/>
      <c r="J66" s="117"/>
      <c r="K66" s="17"/>
    </row>
    <row r="67" spans="1:11">
      <c r="A67" s="17">
        <v>62</v>
      </c>
      <c r="B67" s="17"/>
      <c r="C67" s="17"/>
      <c r="D67" s="17"/>
      <c r="E67" s="18"/>
      <c r="F67" s="24"/>
      <c r="G67" s="116"/>
      <c r="H67" s="17"/>
      <c r="I67" s="17"/>
      <c r="J67" s="117"/>
      <c r="K67" s="17"/>
    </row>
    <row r="68" spans="1:11">
      <c r="A68" s="17">
        <v>63</v>
      </c>
      <c r="B68" s="17"/>
      <c r="C68" s="17"/>
      <c r="D68" s="17"/>
      <c r="E68" s="18"/>
      <c r="F68" s="24"/>
      <c r="G68" s="116"/>
      <c r="H68" s="17"/>
      <c r="I68" s="17"/>
      <c r="J68" s="117"/>
      <c r="K68" s="17"/>
    </row>
    <row r="69" spans="1:11">
      <c r="A69" s="17">
        <v>64</v>
      </c>
      <c r="B69" s="17"/>
      <c r="C69" s="17"/>
      <c r="D69" s="17"/>
      <c r="E69" s="18"/>
      <c r="F69" s="24"/>
      <c r="G69" s="116"/>
      <c r="H69" s="17"/>
      <c r="I69" s="17"/>
      <c r="J69" s="117"/>
      <c r="K69" s="17"/>
    </row>
    <row r="70" spans="1:11">
      <c r="A70" s="17">
        <v>65</v>
      </c>
      <c r="B70" s="17"/>
      <c r="C70" s="17"/>
      <c r="D70" s="17"/>
      <c r="E70" s="18"/>
      <c r="F70" s="24"/>
      <c r="G70" s="116"/>
      <c r="H70" s="17"/>
      <c r="I70" s="17"/>
      <c r="J70" s="117"/>
      <c r="K70" s="17"/>
    </row>
    <row r="71" spans="1:11">
      <c r="A71" s="17">
        <v>66</v>
      </c>
      <c r="B71" s="17"/>
      <c r="C71" s="17"/>
      <c r="D71" s="17"/>
      <c r="E71" s="18"/>
      <c r="F71" s="24"/>
      <c r="G71" s="116"/>
      <c r="H71" s="17"/>
      <c r="I71" s="17"/>
      <c r="J71" s="117"/>
      <c r="K71" s="17"/>
    </row>
    <row r="72" spans="1:11">
      <c r="A72" s="17">
        <v>67</v>
      </c>
      <c r="B72" s="17"/>
      <c r="C72" s="17"/>
      <c r="D72" s="17"/>
      <c r="E72" s="18"/>
      <c r="F72" s="24"/>
      <c r="G72" s="116"/>
      <c r="H72" s="17"/>
      <c r="I72" s="17"/>
      <c r="J72" s="117"/>
      <c r="K72" s="17"/>
    </row>
    <row r="73" spans="1:11">
      <c r="A73" s="17">
        <v>68</v>
      </c>
      <c r="B73" s="17"/>
      <c r="C73" s="17"/>
      <c r="D73" s="17"/>
      <c r="E73" s="18"/>
      <c r="F73" s="24"/>
      <c r="G73" s="116"/>
      <c r="H73" s="17"/>
      <c r="I73" s="17"/>
      <c r="J73" s="117"/>
      <c r="K73" s="17"/>
    </row>
    <row r="74" spans="1:11">
      <c r="A74" s="17">
        <v>69</v>
      </c>
      <c r="B74" s="17"/>
      <c r="C74" s="17"/>
      <c r="D74" s="17"/>
      <c r="E74" s="18"/>
      <c r="F74" s="24"/>
      <c r="G74" s="116"/>
      <c r="H74" s="17"/>
      <c r="I74" s="17"/>
      <c r="J74" s="117"/>
      <c r="K74" s="17"/>
    </row>
    <row r="75" spans="1:11">
      <c r="A75" s="17">
        <v>70</v>
      </c>
      <c r="B75" s="17"/>
      <c r="C75" s="17"/>
      <c r="D75" s="17"/>
      <c r="E75" s="18"/>
      <c r="F75" s="24"/>
      <c r="G75" s="116"/>
      <c r="H75" s="17"/>
      <c r="I75" s="17"/>
      <c r="J75" s="117"/>
      <c r="K75" s="17"/>
    </row>
    <row r="76" spans="1:11">
      <c r="A76" s="17">
        <v>71</v>
      </c>
      <c r="B76" s="17"/>
      <c r="C76" s="17"/>
      <c r="D76" s="17"/>
      <c r="E76" s="18"/>
      <c r="F76" s="24"/>
      <c r="G76" s="116"/>
      <c r="H76" s="17"/>
      <c r="I76" s="17"/>
      <c r="J76" s="117"/>
      <c r="K76" s="17"/>
    </row>
    <row r="77" spans="1:11">
      <c r="A77" s="17">
        <v>72</v>
      </c>
      <c r="B77" s="17"/>
      <c r="C77" s="17"/>
      <c r="D77" s="17"/>
      <c r="E77" s="18"/>
      <c r="F77" s="24"/>
      <c r="G77" s="116"/>
      <c r="H77" s="17"/>
      <c r="I77" s="17"/>
      <c r="J77" s="117"/>
      <c r="K77" s="17"/>
    </row>
    <row r="78" spans="1:11">
      <c r="A78" s="17">
        <v>73</v>
      </c>
      <c r="B78" s="17"/>
      <c r="C78" s="17"/>
      <c r="D78" s="17"/>
      <c r="E78" s="18"/>
      <c r="F78" s="24"/>
      <c r="G78" s="116"/>
      <c r="H78" s="17"/>
      <c r="I78" s="17"/>
      <c r="J78" s="117"/>
      <c r="K78" s="17"/>
    </row>
    <row r="79" spans="1:11">
      <c r="A79" s="17">
        <v>74</v>
      </c>
      <c r="B79" s="17"/>
      <c r="C79" s="17"/>
      <c r="D79" s="17"/>
      <c r="E79" s="18"/>
      <c r="F79" s="24"/>
      <c r="G79" s="116"/>
      <c r="H79" s="17"/>
      <c r="I79" s="17"/>
      <c r="J79" s="117"/>
      <c r="K79" s="17"/>
    </row>
    <row r="80" spans="1:11">
      <c r="A80" s="17">
        <v>75</v>
      </c>
      <c r="B80" s="17"/>
      <c r="C80" s="17"/>
      <c r="D80" s="17"/>
      <c r="E80" s="18"/>
      <c r="F80" s="24"/>
      <c r="G80" s="116"/>
      <c r="H80" s="17"/>
      <c r="I80" s="17"/>
      <c r="J80" s="117"/>
      <c r="K80" s="17"/>
    </row>
    <row r="81" spans="1:11">
      <c r="A81" s="17">
        <v>76</v>
      </c>
      <c r="B81" s="17"/>
      <c r="C81" s="17"/>
      <c r="D81" s="17"/>
      <c r="E81" s="18"/>
      <c r="F81" s="24"/>
      <c r="G81" s="116"/>
      <c r="H81" s="17"/>
      <c r="I81" s="17"/>
      <c r="J81" s="117"/>
      <c r="K81" s="17"/>
    </row>
    <row r="82" spans="1:11">
      <c r="A82" s="17">
        <v>77</v>
      </c>
      <c r="B82" s="17"/>
      <c r="C82" s="17"/>
      <c r="D82" s="17"/>
      <c r="E82" s="18"/>
      <c r="F82" s="24"/>
      <c r="G82" s="116"/>
      <c r="H82" s="17"/>
      <c r="I82" s="17"/>
      <c r="J82" s="117"/>
      <c r="K82" s="17"/>
    </row>
    <row r="83" spans="1:11">
      <c r="A83" s="17">
        <v>78</v>
      </c>
      <c r="B83" s="17"/>
      <c r="C83" s="17"/>
      <c r="D83" s="17"/>
      <c r="E83" s="18"/>
      <c r="F83" s="24"/>
      <c r="G83" s="116"/>
      <c r="H83" s="17"/>
      <c r="I83" s="17"/>
      <c r="J83" s="117"/>
      <c r="K83" s="17"/>
    </row>
    <row r="84" spans="1:11">
      <c r="A84" s="17">
        <v>79</v>
      </c>
      <c r="B84" s="17"/>
      <c r="C84" s="17"/>
      <c r="D84" s="17"/>
      <c r="E84" s="18"/>
      <c r="F84" s="24"/>
      <c r="G84" s="116"/>
      <c r="H84" s="17"/>
      <c r="I84" s="17"/>
      <c r="J84" s="117"/>
      <c r="K84" s="17"/>
    </row>
    <row r="85" spans="1:11">
      <c r="A85" s="17">
        <v>80</v>
      </c>
      <c r="B85" s="17"/>
      <c r="C85" s="17"/>
      <c r="D85" s="17"/>
      <c r="E85" s="18"/>
      <c r="F85" s="24"/>
      <c r="G85" s="116"/>
      <c r="H85" s="17"/>
      <c r="I85" s="17"/>
      <c r="J85" s="117"/>
      <c r="K85" s="17"/>
    </row>
    <row r="86" spans="1:11">
      <c r="A86" s="17">
        <v>81</v>
      </c>
      <c r="B86" s="17"/>
      <c r="C86" s="17"/>
      <c r="D86" s="17"/>
      <c r="E86" s="18"/>
      <c r="F86" s="24"/>
      <c r="G86" s="116"/>
      <c r="H86" s="17"/>
      <c r="I86" s="17"/>
      <c r="J86" s="117"/>
      <c r="K86" s="17"/>
    </row>
    <row r="87" spans="1:11">
      <c r="A87" s="17">
        <v>82</v>
      </c>
      <c r="B87" s="17"/>
      <c r="C87" s="17"/>
      <c r="D87" s="17"/>
      <c r="E87" s="18"/>
      <c r="F87" s="24"/>
      <c r="G87" s="116"/>
      <c r="H87" s="17"/>
      <c r="I87" s="17"/>
      <c r="J87" s="117"/>
      <c r="K87" s="17"/>
    </row>
    <row r="88" spans="1:11">
      <c r="A88" s="17">
        <v>83</v>
      </c>
      <c r="B88" s="17"/>
      <c r="C88" s="17"/>
      <c r="D88" s="17"/>
      <c r="E88" s="18"/>
      <c r="F88" s="24"/>
      <c r="G88" s="116"/>
      <c r="H88" s="17"/>
      <c r="I88" s="17"/>
      <c r="J88" s="117"/>
      <c r="K88" s="17"/>
    </row>
    <row r="89" spans="1:11">
      <c r="A89" s="17">
        <v>84</v>
      </c>
      <c r="B89" s="17"/>
      <c r="C89" s="17"/>
      <c r="D89" s="17"/>
      <c r="E89" s="18"/>
      <c r="F89" s="24"/>
      <c r="G89" s="116"/>
      <c r="H89" s="17"/>
      <c r="I89" s="17"/>
      <c r="J89" s="117"/>
      <c r="K89" s="17"/>
    </row>
    <row r="90" spans="1:11">
      <c r="A90" s="17">
        <v>85</v>
      </c>
      <c r="B90" s="17"/>
      <c r="C90" s="17"/>
      <c r="D90" s="17"/>
      <c r="E90" s="18"/>
      <c r="F90" s="24"/>
      <c r="G90" s="116"/>
      <c r="H90" s="17"/>
      <c r="I90" s="17"/>
      <c r="J90" s="117"/>
      <c r="K90" s="17"/>
    </row>
    <row r="91" spans="1:11">
      <c r="A91" s="17">
        <v>86</v>
      </c>
      <c r="B91" s="17"/>
      <c r="C91" s="17"/>
      <c r="D91" s="17"/>
      <c r="E91" s="18"/>
      <c r="F91" s="24"/>
      <c r="G91" s="116"/>
      <c r="H91" s="17"/>
      <c r="I91" s="17"/>
      <c r="J91" s="117"/>
      <c r="K91" s="17"/>
    </row>
    <row r="92" spans="1:11">
      <c r="A92" s="17">
        <v>87</v>
      </c>
      <c r="B92" s="17"/>
      <c r="C92" s="17"/>
      <c r="D92" s="17"/>
      <c r="E92" s="18"/>
      <c r="F92" s="24"/>
      <c r="G92" s="116"/>
      <c r="H92" s="17"/>
      <c r="I92" s="17"/>
      <c r="J92" s="117"/>
      <c r="K92" s="17"/>
    </row>
    <row r="93" spans="1:11">
      <c r="A93" s="17">
        <v>88</v>
      </c>
      <c r="B93" s="17"/>
      <c r="C93" s="17"/>
      <c r="D93" s="17"/>
      <c r="E93" s="18"/>
      <c r="F93" s="24"/>
      <c r="G93" s="116"/>
      <c r="H93" s="17"/>
      <c r="I93" s="17"/>
      <c r="J93" s="117"/>
      <c r="K93" s="17"/>
    </row>
    <row r="94" spans="1:11">
      <c r="A94" s="17">
        <v>89</v>
      </c>
      <c r="B94" s="17"/>
      <c r="C94" s="17"/>
      <c r="D94" s="17"/>
      <c r="E94" s="18"/>
      <c r="F94" s="24"/>
      <c r="G94" s="116"/>
      <c r="H94" s="17"/>
      <c r="I94" s="17"/>
      <c r="J94" s="117"/>
      <c r="K94" s="17"/>
    </row>
    <row r="95" spans="1:11">
      <c r="A95" s="17">
        <v>90</v>
      </c>
      <c r="B95" s="17"/>
      <c r="C95" s="17"/>
      <c r="D95" s="17"/>
      <c r="E95" s="18"/>
      <c r="F95" s="24"/>
      <c r="G95" s="116"/>
      <c r="H95" s="17"/>
      <c r="I95" s="17"/>
      <c r="J95" s="117"/>
      <c r="K95" s="17"/>
    </row>
    <row r="96" spans="1:11">
      <c r="A96" s="17">
        <v>91</v>
      </c>
      <c r="B96" s="17"/>
      <c r="C96" s="17"/>
      <c r="D96" s="17"/>
      <c r="E96" s="18"/>
      <c r="F96" s="24"/>
      <c r="G96" s="116"/>
      <c r="H96" s="17"/>
      <c r="I96" s="17"/>
      <c r="J96" s="117"/>
      <c r="K96" s="17"/>
    </row>
    <row r="97" spans="1:11">
      <c r="A97" s="17">
        <v>92</v>
      </c>
      <c r="B97" s="17"/>
      <c r="C97" s="17"/>
      <c r="D97" s="17"/>
      <c r="E97" s="18"/>
      <c r="F97" s="24"/>
      <c r="G97" s="116"/>
      <c r="H97" s="17"/>
      <c r="I97" s="17"/>
      <c r="J97" s="117"/>
      <c r="K97" s="17"/>
    </row>
    <row r="98" spans="1:11">
      <c r="A98" s="17">
        <v>93</v>
      </c>
      <c r="B98" s="17"/>
      <c r="C98" s="17"/>
      <c r="D98" s="17"/>
      <c r="E98" s="18"/>
      <c r="F98" s="24"/>
      <c r="G98" s="116"/>
      <c r="H98" s="17"/>
      <c r="I98" s="17"/>
      <c r="J98" s="117"/>
      <c r="K98" s="17"/>
    </row>
    <row r="99" spans="1:11">
      <c r="A99" s="17">
        <v>94</v>
      </c>
      <c r="B99" s="17"/>
      <c r="C99" s="17"/>
      <c r="D99" s="17"/>
      <c r="E99" s="18"/>
      <c r="F99" s="24"/>
      <c r="G99" s="116"/>
      <c r="H99" s="17"/>
      <c r="I99" s="17"/>
      <c r="J99" s="117"/>
      <c r="K99" s="17"/>
    </row>
    <row r="100" spans="1:11">
      <c r="A100" s="17">
        <v>95</v>
      </c>
      <c r="B100" s="17"/>
      <c r="C100" s="17"/>
      <c r="D100" s="17"/>
      <c r="E100" s="18"/>
      <c r="F100" s="24"/>
      <c r="G100" s="116"/>
      <c r="H100" s="17"/>
      <c r="I100" s="17"/>
      <c r="J100" s="117"/>
      <c r="K100" s="17"/>
    </row>
    <row r="101" spans="1:11">
      <c r="A101" s="17">
        <v>96</v>
      </c>
      <c r="B101" s="17"/>
      <c r="C101" s="17"/>
      <c r="D101" s="17"/>
      <c r="E101" s="18"/>
      <c r="F101" s="24"/>
      <c r="G101" s="116"/>
      <c r="H101" s="17"/>
      <c r="I101" s="17"/>
      <c r="J101" s="117"/>
      <c r="K101" s="17"/>
    </row>
    <row r="102" spans="1:11">
      <c r="A102" s="17">
        <v>97</v>
      </c>
      <c r="B102" s="17"/>
      <c r="C102" s="17"/>
      <c r="D102" s="17"/>
      <c r="E102" s="18"/>
      <c r="F102" s="24"/>
      <c r="G102" s="116"/>
      <c r="H102" s="17"/>
      <c r="I102" s="17"/>
      <c r="J102" s="117"/>
      <c r="K102" s="17"/>
    </row>
    <row r="103" spans="1:11">
      <c r="A103" s="17">
        <v>98</v>
      </c>
      <c r="B103" s="17"/>
      <c r="C103" s="17"/>
      <c r="D103" s="17"/>
      <c r="E103" s="18"/>
      <c r="F103" s="24"/>
      <c r="G103" s="116"/>
      <c r="H103" s="17"/>
      <c r="I103" s="17"/>
      <c r="J103" s="117"/>
      <c r="K103" s="17"/>
    </row>
    <row r="104" spans="1:11">
      <c r="A104" s="17">
        <v>99</v>
      </c>
      <c r="B104" s="17"/>
      <c r="C104" s="17"/>
      <c r="D104" s="17"/>
      <c r="E104" s="18"/>
      <c r="F104" s="24"/>
      <c r="G104" s="116"/>
      <c r="H104" s="17"/>
      <c r="I104" s="17"/>
      <c r="J104" s="117"/>
      <c r="K104" s="17"/>
    </row>
    <row r="105" spans="1:11">
      <c r="A105" s="17">
        <v>100</v>
      </c>
      <c r="B105" s="17"/>
      <c r="C105" s="17"/>
      <c r="D105" s="17"/>
      <c r="E105" s="18"/>
      <c r="F105" s="24"/>
      <c r="G105" s="116"/>
      <c r="H105" s="17"/>
      <c r="I105" s="17"/>
      <c r="J105" s="117"/>
      <c r="K105" s="17"/>
    </row>
    <row r="106" spans="1:11">
      <c r="A106" s="17">
        <v>101</v>
      </c>
      <c r="B106" s="17"/>
      <c r="C106" s="17"/>
      <c r="D106" s="17"/>
      <c r="E106" s="18"/>
      <c r="F106" s="24"/>
      <c r="G106" s="116"/>
      <c r="H106" s="17"/>
      <c r="I106" s="17"/>
      <c r="J106" s="117"/>
      <c r="K106" s="17"/>
    </row>
    <row r="107" spans="1:11">
      <c r="A107" s="17">
        <v>102</v>
      </c>
      <c r="B107" s="17"/>
      <c r="C107" s="17"/>
      <c r="D107" s="17"/>
      <c r="E107" s="18"/>
      <c r="F107" s="24"/>
      <c r="G107" s="116"/>
      <c r="H107" s="17"/>
      <c r="I107" s="17"/>
      <c r="J107" s="117"/>
      <c r="K107" s="17"/>
    </row>
    <row r="108" spans="1:11">
      <c r="A108" s="17">
        <v>103</v>
      </c>
      <c r="B108" s="17"/>
      <c r="C108" s="17"/>
      <c r="D108" s="17"/>
      <c r="E108" s="18"/>
      <c r="F108" s="24"/>
      <c r="G108" s="116"/>
      <c r="H108" s="17"/>
      <c r="I108" s="17"/>
      <c r="J108" s="117"/>
      <c r="K108" s="17"/>
    </row>
    <row r="109" spans="1:11">
      <c r="A109" s="17">
        <v>104</v>
      </c>
      <c r="B109" s="17"/>
      <c r="C109" s="17"/>
      <c r="D109" s="17"/>
      <c r="E109" s="18"/>
      <c r="F109" s="24"/>
      <c r="G109" s="116"/>
      <c r="H109" s="17"/>
      <c r="I109" s="17"/>
      <c r="J109" s="117"/>
      <c r="K109" s="17"/>
    </row>
    <row r="110" spans="1:11">
      <c r="A110" s="66"/>
      <c r="B110" s="66"/>
      <c r="C110" s="66"/>
      <c r="D110" s="66"/>
      <c r="E110" s="67"/>
      <c r="F110" s="71">
        <f>SUM(F7:F109)</f>
        <v>1618320</v>
      </c>
      <c r="G110" s="189">
        <f>SUM(G7:G109)</f>
        <v>220</v>
      </c>
      <c r="H110" s="66"/>
      <c r="I110" s="66"/>
      <c r="J110" s="190"/>
      <c r="K110" s="66"/>
    </row>
    <row r="111" spans="1:11">
      <c r="J111" s="115"/>
    </row>
    <row r="112" spans="1:11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2">
    <mergeCell ref="A1:K1"/>
    <mergeCell ref="B2:C2"/>
  </mergeCells>
  <hyperlinks>
    <hyperlink ref="K2" location="الاليات!A1" display="الاليات " xr:uid="{00000000-0004-0000-12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6" tint="0.39997558519241921"/>
  </sheetPr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77734375" style="1" bestFit="1" customWidth="1"/>
    <col min="3" max="3" width="12.77734375" style="1" bestFit="1" customWidth="1"/>
    <col min="4" max="4" width="4.5546875" style="1" bestFit="1" customWidth="1"/>
    <col min="5" max="5" width="11.109375" style="73" bestFit="1" customWidth="1"/>
    <col min="6" max="6" width="8.33203125" style="78" bestFit="1" customWidth="1"/>
    <col min="7" max="7" width="6.21875" style="122" bestFit="1" customWidth="1"/>
    <col min="8" max="8" width="13.44140625" style="1" bestFit="1" customWidth="1"/>
    <col min="9" max="9" width="10.21875" style="1" bestFit="1" customWidth="1"/>
    <col min="10" max="10" width="4.77734375" style="1" bestFit="1" customWidth="1"/>
    <col min="11" max="11" width="10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15</v>
      </c>
      <c r="B2" s="202" t="s">
        <v>840</v>
      </c>
      <c r="C2" s="203"/>
      <c r="D2" s="85"/>
      <c r="E2" s="86" t="s">
        <v>8</v>
      </c>
      <c r="F2" s="17">
        <v>2025</v>
      </c>
      <c r="G2" s="89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7" t="s">
        <v>694</v>
      </c>
      <c r="D3" s="89"/>
      <c r="E3" s="86" t="s">
        <v>68</v>
      </c>
      <c r="F3" s="35" t="s">
        <v>692</v>
      </c>
      <c r="G3" s="89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35"/>
      <c r="G4" s="81"/>
      <c r="H4" s="81"/>
      <c r="I4" s="17"/>
      <c r="J4" s="81"/>
      <c r="K4" s="17"/>
    </row>
    <row r="5" spans="1:11" ht="34.799999999999997">
      <c r="A5" s="35"/>
      <c r="B5" s="81" t="s">
        <v>855</v>
      </c>
      <c r="C5" s="35" t="s">
        <v>847</v>
      </c>
      <c r="D5" s="89"/>
      <c r="E5" s="86" t="s">
        <v>95</v>
      </c>
      <c r="F5" s="166"/>
      <c r="G5" s="81"/>
      <c r="H5" s="81" t="s">
        <v>96</v>
      </c>
      <c r="I5" s="117">
        <f>MAX(J7:J141)</f>
        <v>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17">
        <v>1</v>
      </c>
      <c r="B7" s="143"/>
      <c r="C7" s="143"/>
      <c r="D7" s="144"/>
      <c r="E7" s="143"/>
      <c r="F7" s="145"/>
      <c r="G7" s="116"/>
      <c r="H7" s="17"/>
      <c r="I7" s="81"/>
      <c r="J7" s="23"/>
      <c r="K7" s="81"/>
    </row>
    <row r="8" spans="1:11">
      <c r="A8" s="17">
        <v>3</v>
      </c>
      <c r="B8" s="143"/>
      <c r="C8" s="143"/>
      <c r="D8" s="144"/>
      <c r="E8" s="143"/>
      <c r="F8" s="145"/>
      <c r="G8" s="116"/>
      <c r="H8" s="17"/>
      <c r="I8" s="17"/>
      <c r="J8" s="117"/>
      <c r="K8" s="17"/>
    </row>
    <row r="9" spans="1:11">
      <c r="A9" s="17">
        <v>4</v>
      </c>
      <c r="B9" s="143"/>
      <c r="C9" s="143"/>
      <c r="D9" s="144"/>
      <c r="E9" s="143"/>
      <c r="F9" s="145"/>
      <c r="G9" s="116"/>
      <c r="H9" s="17"/>
      <c r="I9" s="17"/>
      <c r="J9" s="117"/>
      <c r="K9" s="17"/>
    </row>
    <row r="10" spans="1:11">
      <c r="A10" s="17">
        <v>5</v>
      </c>
      <c r="B10" s="143"/>
      <c r="C10" s="143"/>
      <c r="D10" s="144"/>
      <c r="E10" s="143"/>
      <c r="F10" s="145"/>
      <c r="G10" s="116"/>
      <c r="H10" s="17"/>
      <c r="I10" s="17"/>
      <c r="J10" s="117"/>
      <c r="K10" s="17"/>
    </row>
    <row r="11" spans="1:11">
      <c r="A11" s="17">
        <v>6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7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6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31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7">
        <v>32</v>
      </c>
      <c r="B37" s="17"/>
      <c r="C37" s="17"/>
      <c r="D37" s="17"/>
      <c r="E37" s="18"/>
      <c r="F37" s="24"/>
      <c r="G37" s="116"/>
      <c r="H37" s="17"/>
      <c r="I37" s="17"/>
      <c r="J37" s="117"/>
      <c r="K37" s="17"/>
    </row>
    <row r="38" spans="1:11">
      <c r="A38" s="17">
        <v>33</v>
      </c>
      <c r="B38" s="17"/>
      <c r="C38" s="17"/>
      <c r="D38" s="17"/>
      <c r="E38" s="18"/>
      <c r="F38" s="24"/>
      <c r="G38" s="116"/>
      <c r="H38" s="17"/>
      <c r="I38" s="17"/>
      <c r="J38" s="117"/>
      <c r="K38" s="17"/>
    </row>
    <row r="39" spans="1:11">
      <c r="A39" s="17">
        <v>34</v>
      </c>
      <c r="B39" s="17"/>
      <c r="C39" s="17"/>
      <c r="D39" s="17"/>
      <c r="E39" s="18"/>
      <c r="F39" s="24"/>
      <c r="G39" s="116"/>
      <c r="H39" s="17"/>
      <c r="I39" s="17"/>
      <c r="J39" s="117"/>
      <c r="K39" s="17"/>
    </row>
    <row r="40" spans="1:11">
      <c r="A40" s="17">
        <v>35</v>
      </c>
      <c r="B40" s="17"/>
      <c r="C40" s="17"/>
      <c r="D40" s="17"/>
      <c r="E40" s="18"/>
      <c r="F40" s="24"/>
      <c r="G40" s="116"/>
      <c r="H40" s="17"/>
      <c r="I40" s="17"/>
      <c r="J40" s="117"/>
      <c r="K40" s="17"/>
    </row>
    <row r="41" spans="1:11">
      <c r="A41" s="17">
        <v>36</v>
      </c>
      <c r="B41" s="17"/>
      <c r="C41" s="17"/>
      <c r="D41" s="17"/>
      <c r="E41" s="18"/>
      <c r="F41" s="24"/>
      <c r="G41" s="116"/>
      <c r="H41" s="17"/>
      <c r="I41" s="17"/>
      <c r="J41" s="117"/>
      <c r="K41" s="17"/>
    </row>
    <row r="42" spans="1:11">
      <c r="A42" s="17">
        <v>37</v>
      </c>
      <c r="B42" s="17"/>
      <c r="C42" s="17"/>
      <c r="D42" s="17"/>
      <c r="E42" s="18"/>
      <c r="F42" s="24"/>
      <c r="G42" s="116"/>
      <c r="H42" s="17"/>
      <c r="I42" s="17"/>
      <c r="J42" s="117"/>
      <c r="K42" s="17"/>
    </row>
    <row r="43" spans="1:11">
      <c r="A43" s="17">
        <v>38</v>
      </c>
      <c r="B43" s="17"/>
      <c r="C43" s="17"/>
      <c r="D43" s="17"/>
      <c r="E43" s="18"/>
      <c r="F43" s="24"/>
      <c r="G43" s="116"/>
      <c r="H43" s="17"/>
      <c r="I43" s="17"/>
      <c r="J43" s="117"/>
      <c r="K43" s="17"/>
    </row>
    <row r="44" spans="1:11">
      <c r="A44" s="17">
        <v>39</v>
      </c>
      <c r="B44" s="17"/>
      <c r="C44" s="17"/>
      <c r="D44" s="17"/>
      <c r="E44" s="18"/>
      <c r="F44" s="24"/>
      <c r="G44" s="116"/>
      <c r="H44" s="17"/>
      <c r="I44" s="17"/>
      <c r="J44" s="117"/>
      <c r="K44" s="17"/>
    </row>
    <row r="45" spans="1:11">
      <c r="A45" s="17">
        <v>40</v>
      </c>
      <c r="B45" s="17"/>
      <c r="C45" s="17"/>
      <c r="D45" s="17"/>
      <c r="E45" s="18"/>
      <c r="F45" s="24"/>
      <c r="G45" s="116"/>
      <c r="H45" s="17"/>
      <c r="I45" s="17"/>
      <c r="J45" s="117"/>
      <c r="K45" s="17"/>
    </row>
    <row r="46" spans="1:11">
      <c r="A46" s="17">
        <v>41</v>
      </c>
      <c r="B46" s="17"/>
      <c r="C46" s="17"/>
      <c r="D46" s="17"/>
      <c r="E46" s="18"/>
      <c r="F46" s="24"/>
      <c r="G46" s="116"/>
      <c r="H46" s="17"/>
      <c r="I46" s="17"/>
      <c r="J46" s="117"/>
      <c r="K46" s="17"/>
    </row>
    <row r="47" spans="1:11">
      <c r="A47" s="17">
        <v>42</v>
      </c>
      <c r="B47" s="17"/>
      <c r="C47" s="17"/>
      <c r="D47" s="17"/>
      <c r="E47" s="18"/>
      <c r="F47" s="24"/>
      <c r="G47" s="116"/>
      <c r="H47" s="17"/>
      <c r="I47" s="17"/>
      <c r="J47" s="117"/>
      <c r="K47" s="17"/>
    </row>
    <row r="48" spans="1:11">
      <c r="A48" s="17">
        <v>43</v>
      </c>
      <c r="B48" s="17"/>
      <c r="C48" s="17"/>
      <c r="D48" s="17"/>
      <c r="E48" s="18"/>
      <c r="F48" s="24"/>
      <c r="G48" s="116"/>
      <c r="H48" s="17"/>
      <c r="I48" s="17"/>
      <c r="J48" s="117"/>
      <c r="K48" s="17"/>
    </row>
    <row r="49" spans="1:11">
      <c r="A49" s="17">
        <v>44</v>
      </c>
      <c r="B49" s="17"/>
      <c r="C49" s="17"/>
      <c r="D49" s="17"/>
      <c r="E49" s="18"/>
      <c r="F49" s="24"/>
      <c r="G49" s="116"/>
      <c r="H49" s="17"/>
      <c r="I49" s="17"/>
      <c r="J49" s="117"/>
      <c r="K49" s="17"/>
    </row>
    <row r="50" spans="1:11">
      <c r="A50" s="17">
        <v>45</v>
      </c>
      <c r="B50" s="17"/>
      <c r="C50" s="17"/>
      <c r="D50" s="17"/>
      <c r="E50" s="18"/>
      <c r="F50" s="24"/>
      <c r="G50" s="116"/>
      <c r="H50" s="17"/>
      <c r="I50" s="17"/>
      <c r="J50" s="117"/>
      <c r="K50" s="17"/>
    </row>
    <row r="51" spans="1:11">
      <c r="A51" s="17">
        <v>46</v>
      </c>
      <c r="B51" s="17"/>
      <c r="C51" s="17"/>
      <c r="D51" s="17"/>
      <c r="E51" s="18"/>
      <c r="F51" s="24"/>
      <c r="G51" s="116"/>
      <c r="H51" s="17"/>
      <c r="I51" s="17"/>
      <c r="J51" s="117"/>
      <c r="K51" s="17"/>
    </row>
    <row r="52" spans="1:11">
      <c r="A52" s="17">
        <v>47</v>
      </c>
      <c r="B52" s="17"/>
      <c r="C52" s="17"/>
      <c r="D52" s="17"/>
      <c r="E52" s="18"/>
      <c r="F52" s="24"/>
      <c r="G52" s="116"/>
      <c r="H52" s="17"/>
      <c r="I52" s="17"/>
      <c r="J52" s="117"/>
      <c r="K52" s="17"/>
    </row>
    <row r="53" spans="1:11">
      <c r="A53" s="17">
        <v>48</v>
      </c>
      <c r="B53" s="17"/>
      <c r="C53" s="17"/>
      <c r="D53" s="17"/>
      <c r="E53" s="18"/>
      <c r="F53" s="24"/>
      <c r="G53" s="116"/>
      <c r="H53" s="17"/>
      <c r="I53" s="17"/>
      <c r="J53" s="117"/>
      <c r="K53" s="17"/>
    </row>
    <row r="54" spans="1:11">
      <c r="A54" s="17">
        <v>49</v>
      </c>
      <c r="B54" s="17"/>
      <c r="C54" s="17"/>
      <c r="D54" s="17"/>
      <c r="E54" s="18"/>
      <c r="F54" s="24"/>
      <c r="G54" s="116"/>
      <c r="H54" s="17"/>
      <c r="I54" s="17"/>
      <c r="J54" s="117"/>
      <c r="K54" s="17"/>
    </row>
    <row r="55" spans="1:11">
      <c r="A55" s="17">
        <v>50</v>
      </c>
      <c r="B55" s="17"/>
      <c r="C55" s="17"/>
      <c r="D55" s="17"/>
      <c r="E55" s="18"/>
      <c r="F55" s="24"/>
      <c r="G55" s="116"/>
      <c r="H55" s="17"/>
      <c r="I55" s="17"/>
      <c r="J55" s="117"/>
      <c r="K55" s="17"/>
    </row>
    <row r="56" spans="1:11">
      <c r="A56" s="17">
        <v>51</v>
      </c>
      <c r="B56" s="17"/>
      <c r="C56" s="17"/>
      <c r="D56" s="17"/>
      <c r="E56" s="18"/>
      <c r="F56" s="24"/>
      <c r="G56" s="116"/>
      <c r="H56" s="17"/>
      <c r="I56" s="17"/>
      <c r="J56" s="117"/>
      <c r="K56" s="17"/>
    </row>
    <row r="57" spans="1:11">
      <c r="A57" s="17">
        <v>52</v>
      </c>
      <c r="B57" s="17"/>
      <c r="C57" s="17"/>
      <c r="D57" s="17"/>
      <c r="E57" s="18"/>
      <c r="F57" s="24"/>
      <c r="G57" s="116"/>
      <c r="H57" s="17"/>
      <c r="I57" s="17"/>
      <c r="J57" s="117"/>
      <c r="K57" s="17"/>
    </row>
    <row r="58" spans="1:11">
      <c r="A58" s="17">
        <v>53</v>
      </c>
      <c r="B58" s="17"/>
      <c r="C58" s="17"/>
      <c r="D58" s="17"/>
      <c r="E58" s="18"/>
      <c r="F58" s="24"/>
      <c r="G58" s="116"/>
      <c r="H58" s="17"/>
      <c r="I58" s="17"/>
      <c r="J58" s="117"/>
      <c r="K58" s="17"/>
    </row>
    <row r="59" spans="1:11">
      <c r="A59" s="17">
        <v>54</v>
      </c>
      <c r="B59" s="17"/>
      <c r="C59" s="17"/>
      <c r="D59" s="17"/>
      <c r="E59" s="18"/>
      <c r="F59" s="24"/>
      <c r="G59" s="116"/>
      <c r="H59" s="17"/>
      <c r="I59" s="17"/>
      <c r="J59" s="117"/>
      <c r="K59" s="17"/>
    </row>
    <row r="60" spans="1:11">
      <c r="A60" s="17">
        <v>55</v>
      </c>
      <c r="B60" s="17"/>
      <c r="C60" s="17"/>
      <c r="D60" s="17"/>
      <c r="E60" s="18"/>
      <c r="F60" s="24"/>
      <c r="G60" s="116"/>
      <c r="H60" s="17"/>
      <c r="I60" s="17"/>
      <c r="J60" s="117"/>
      <c r="K60" s="17"/>
    </row>
    <row r="61" spans="1:11">
      <c r="A61" s="17">
        <v>56</v>
      </c>
      <c r="B61" s="17"/>
      <c r="C61" s="17"/>
      <c r="D61" s="17"/>
      <c r="E61" s="18"/>
      <c r="F61" s="24"/>
      <c r="G61" s="116"/>
      <c r="H61" s="17"/>
      <c r="I61" s="17"/>
      <c r="J61" s="117"/>
      <c r="K61" s="17"/>
    </row>
    <row r="62" spans="1:11">
      <c r="A62" s="17">
        <v>57</v>
      </c>
      <c r="B62" s="17"/>
      <c r="C62" s="17"/>
      <c r="D62" s="17"/>
      <c r="E62" s="18"/>
      <c r="F62" s="24"/>
      <c r="G62" s="116"/>
      <c r="H62" s="17"/>
      <c r="I62" s="17"/>
      <c r="J62" s="117"/>
      <c r="K62" s="17"/>
    </row>
    <row r="63" spans="1:11">
      <c r="A63" s="17">
        <v>58</v>
      </c>
      <c r="B63" s="17"/>
      <c r="C63" s="17"/>
      <c r="D63" s="17"/>
      <c r="E63" s="18"/>
      <c r="F63" s="24"/>
      <c r="G63" s="116"/>
      <c r="H63" s="17"/>
      <c r="I63" s="17"/>
      <c r="J63" s="117"/>
      <c r="K63" s="17"/>
    </row>
    <row r="64" spans="1:11">
      <c r="A64" s="17">
        <v>59</v>
      </c>
      <c r="B64" s="17"/>
      <c r="C64" s="17"/>
      <c r="D64" s="17"/>
      <c r="E64" s="18"/>
      <c r="F64" s="24"/>
      <c r="G64" s="116"/>
      <c r="H64" s="17"/>
      <c r="I64" s="17"/>
      <c r="J64" s="117"/>
      <c r="K64" s="17"/>
    </row>
    <row r="65" spans="1:11">
      <c r="A65" s="17">
        <v>60</v>
      </c>
      <c r="B65" s="17"/>
      <c r="C65" s="17"/>
      <c r="D65" s="17"/>
      <c r="E65" s="18"/>
      <c r="F65" s="24"/>
      <c r="G65" s="116"/>
      <c r="H65" s="17"/>
      <c r="I65" s="17"/>
      <c r="J65" s="117"/>
      <c r="K65" s="17"/>
    </row>
    <row r="66" spans="1:11">
      <c r="A66" s="17">
        <v>61</v>
      </c>
      <c r="B66" s="17"/>
      <c r="C66" s="17"/>
      <c r="D66" s="17"/>
      <c r="E66" s="18"/>
      <c r="F66" s="24"/>
      <c r="G66" s="116"/>
      <c r="H66" s="17"/>
      <c r="I66" s="17"/>
      <c r="J66" s="117"/>
      <c r="K66" s="17"/>
    </row>
    <row r="67" spans="1:11">
      <c r="A67" s="17">
        <v>62</v>
      </c>
      <c r="B67" s="17"/>
      <c r="C67" s="17"/>
      <c r="D67" s="17"/>
      <c r="E67" s="18"/>
      <c r="F67" s="24"/>
      <c r="G67" s="116"/>
      <c r="H67" s="17"/>
      <c r="I67" s="17"/>
      <c r="J67" s="117"/>
      <c r="K67" s="17"/>
    </row>
    <row r="68" spans="1:11">
      <c r="A68" s="17">
        <v>63</v>
      </c>
      <c r="B68" s="17"/>
      <c r="C68" s="17"/>
      <c r="D68" s="17"/>
      <c r="E68" s="18"/>
      <c r="F68" s="24"/>
      <c r="G68" s="116"/>
      <c r="H68" s="17"/>
      <c r="I68" s="17"/>
      <c r="J68" s="117"/>
      <c r="K68" s="17"/>
    </row>
    <row r="69" spans="1:11">
      <c r="A69" s="17">
        <v>64</v>
      </c>
      <c r="B69" s="17"/>
      <c r="C69" s="17"/>
      <c r="D69" s="17"/>
      <c r="E69" s="18"/>
      <c r="F69" s="24"/>
      <c r="G69" s="116"/>
      <c r="H69" s="17"/>
      <c r="I69" s="17"/>
      <c r="J69" s="117"/>
      <c r="K69" s="17"/>
    </row>
    <row r="70" spans="1:11">
      <c r="A70" s="17">
        <v>65</v>
      </c>
      <c r="B70" s="17"/>
      <c r="C70" s="17"/>
      <c r="D70" s="17"/>
      <c r="E70" s="18"/>
      <c r="F70" s="24"/>
      <c r="G70" s="116"/>
      <c r="H70" s="17"/>
      <c r="I70" s="17"/>
      <c r="J70" s="117"/>
      <c r="K70" s="17"/>
    </row>
    <row r="71" spans="1:11">
      <c r="A71" s="17">
        <v>66</v>
      </c>
      <c r="B71" s="17"/>
      <c r="C71" s="17"/>
      <c r="D71" s="17"/>
      <c r="E71" s="18"/>
      <c r="F71" s="24"/>
      <c r="G71" s="116"/>
      <c r="H71" s="17"/>
      <c r="I71" s="17"/>
      <c r="J71" s="117"/>
      <c r="K71" s="17"/>
    </row>
    <row r="72" spans="1:11">
      <c r="A72" s="17">
        <v>67</v>
      </c>
      <c r="B72" s="17"/>
      <c r="C72" s="17"/>
      <c r="D72" s="17"/>
      <c r="E72" s="18"/>
      <c r="F72" s="24"/>
      <c r="G72" s="116"/>
      <c r="H72" s="17"/>
      <c r="I72" s="17"/>
      <c r="J72" s="117"/>
      <c r="K72" s="17"/>
    </row>
    <row r="73" spans="1:11">
      <c r="A73" s="17">
        <v>68</v>
      </c>
      <c r="B73" s="17"/>
      <c r="C73" s="17"/>
      <c r="D73" s="17"/>
      <c r="E73" s="18"/>
      <c r="F73" s="24"/>
      <c r="G73" s="116"/>
      <c r="H73" s="17"/>
      <c r="I73" s="17"/>
      <c r="J73" s="117"/>
      <c r="K73" s="17"/>
    </row>
    <row r="74" spans="1:11">
      <c r="A74" s="17">
        <v>69</v>
      </c>
      <c r="B74" s="17"/>
      <c r="C74" s="17"/>
      <c r="D74" s="17"/>
      <c r="E74" s="18"/>
      <c r="F74" s="24"/>
      <c r="G74" s="116"/>
      <c r="H74" s="17"/>
      <c r="I74" s="17"/>
      <c r="J74" s="117"/>
      <c r="K74" s="17"/>
    </row>
    <row r="75" spans="1:11">
      <c r="A75" s="17">
        <v>70</v>
      </c>
      <c r="B75" s="17"/>
      <c r="C75" s="17"/>
      <c r="D75" s="17"/>
      <c r="E75" s="18"/>
      <c r="F75" s="24"/>
      <c r="G75" s="116"/>
      <c r="H75" s="17"/>
      <c r="I75" s="17"/>
      <c r="J75" s="117"/>
      <c r="K75" s="17"/>
    </row>
    <row r="76" spans="1:11">
      <c r="A76" s="17">
        <v>71</v>
      </c>
      <c r="B76" s="17"/>
      <c r="C76" s="17"/>
      <c r="D76" s="17"/>
      <c r="E76" s="18"/>
      <c r="F76" s="24"/>
      <c r="G76" s="116"/>
      <c r="H76" s="17"/>
      <c r="I76" s="17"/>
      <c r="J76" s="117"/>
      <c r="K76" s="17"/>
    </row>
    <row r="77" spans="1:11">
      <c r="A77" s="17">
        <v>72</v>
      </c>
      <c r="B77" s="17"/>
      <c r="C77" s="17"/>
      <c r="D77" s="17"/>
      <c r="E77" s="18"/>
      <c r="F77" s="24"/>
      <c r="G77" s="116"/>
      <c r="H77" s="17"/>
      <c r="I77" s="17"/>
      <c r="J77" s="117"/>
      <c r="K77" s="17"/>
    </row>
    <row r="78" spans="1:11">
      <c r="A78" s="17">
        <v>73</v>
      </c>
      <c r="B78" s="17"/>
      <c r="C78" s="17"/>
      <c r="D78" s="17"/>
      <c r="E78" s="18"/>
      <c r="F78" s="24"/>
      <c r="G78" s="116"/>
      <c r="H78" s="17"/>
      <c r="I78" s="17"/>
      <c r="J78" s="117"/>
      <c r="K78" s="17"/>
    </row>
    <row r="79" spans="1:11">
      <c r="A79" s="17">
        <v>74</v>
      </c>
      <c r="B79" s="17"/>
      <c r="C79" s="17"/>
      <c r="D79" s="17"/>
      <c r="E79" s="18"/>
      <c r="F79" s="24"/>
      <c r="G79" s="116"/>
      <c r="H79" s="17"/>
      <c r="I79" s="17"/>
      <c r="J79" s="117"/>
      <c r="K79" s="17"/>
    </row>
    <row r="80" spans="1:11">
      <c r="A80" s="17">
        <v>75</v>
      </c>
      <c r="B80" s="17"/>
      <c r="C80" s="17"/>
      <c r="D80" s="17"/>
      <c r="E80" s="18"/>
      <c r="F80" s="24"/>
      <c r="G80" s="116"/>
      <c r="H80" s="17"/>
      <c r="I80" s="17"/>
      <c r="J80" s="117"/>
      <c r="K80" s="17"/>
    </row>
    <row r="81" spans="1:11">
      <c r="A81" s="17">
        <v>76</v>
      </c>
      <c r="B81" s="17"/>
      <c r="C81" s="17"/>
      <c r="D81" s="17"/>
      <c r="E81" s="18"/>
      <c r="F81" s="24"/>
      <c r="G81" s="116"/>
      <c r="H81" s="17"/>
      <c r="I81" s="17"/>
      <c r="J81" s="117"/>
      <c r="K81" s="17"/>
    </row>
    <row r="82" spans="1:11">
      <c r="A82" s="17">
        <v>77</v>
      </c>
      <c r="B82" s="17"/>
      <c r="C82" s="17"/>
      <c r="D82" s="17"/>
      <c r="E82" s="18"/>
      <c r="F82" s="24"/>
      <c r="G82" s="116"/>
      <c r="H82" s="17"/>
      <c r="I82" s="17"/>
      <c r="J82" s="117"/>
      <c r="K82" s="17"/>
    </row>
    <row r="83" spans="1:11">
      <c r="A83" s="17">
        <v>78</v>
      </c>
      <c r="B83" s="17"/>
      <c r="C83" s="17"/>
      <c r="D83" s="17"/>
      <c r="E83" s="18"/>
      <c r="F83" s="24"/>
      <c r="G83" s="116"/>
      <c r="H83" s="17"/>
      <c r="I83" s="17"/>
      <c r="J83" s="117"/>
      <c r="K83" s="17"/>
    </row>
    <row r="84" spans="1:11">
      <c r="A84" s="17">
        <v>79</v>
      </c>
      <c r="B84" s="17"/>
      <c r="C84" s="17"/>
      <c r="D84" s="17"/>
      <c r="E84" s="18"/>
      <c r="F84" s="24"/>
      <c r="G84" s="116"/>
      <c r="H84" s="17"/>
      <c r="I84" s="17"/>
      <c r="J84" s="117"/>
      <c r="K84" s="17"/>
    </row>
    <row r="85" spans="1:11">
      <c r="A85" s="17">
        <v>80</v>
      </c>
      <c r="B85" s="17"/>
      <c r="C85" s="17"/>
      <c r="D85" s="17"/>
      <c r="E85" s="18"/>
      <c r="F85" s="24"/>
      <c r="G85" s="116"/>
      <c r="H85" s="17"/>
      <c r="I85" s="17"/>
      <c r="J85" s="117"/>
      <c r="K85" s="17"/>
    </row>
    <row r="86" spans="1:11">
      <c r="A86" s="17">
        <v>81</v>
      </c>
      <c r="B86" s="17"/>
      <c r="C86" s="17"/>
      <c r="D86" s="17"/>
      <c r="E86" s="18"/>
      <c r="F86" s="24"/>
      <c r="G86" s="116"/>
      <c r="H86" s="17"/>
      <c r="I86" s="17"/>
      <c r="J86" s="117"/>
      <c r="K86" s="17"/>
    </row>
    <row r="87" spans="1:11">
      <c r="A87" s="17">
        <v>82</v>
      </c>
      <c r="B87" s="17"/>
      <c r="C87" s="17"/>
      <c r="D87" s="17"/>
      <c r="E87" s="18"/>
      <c r="F87" s="24"/>
      <c r="G87" s="116"/>
      <c r="H87" s="17"/>
      <c r="I87" s="17"/>
      <c r="J87" s="117"/>
      <c r="K87" s="17"/>
    </row>
    <row r="88" spans="1:11">
      <c r="A88" s="17">
        <v>83</v>
      </c>
      <c r="B88" s="17"/>
      <c r="C88" s="17"/>
      <c r="D88" s="17"/>
      <c r="E88" s="18"/>
      <c r="F88" s="24"/>
      <c r="G88" s="116"/>
      <c r="H88" s="17"/>
      <c r="I88" s="17"/>
      <c r="J88" s="117"/>
      <c r="K88" s="17"/>
    </row>
    <row r="89" spans="1:11">
      <c r="A89" s="17">
        <v>84</v>
      </c>
      <c r="B89" s="17"/>
      <c r="C89" s="17"/>
      <c r="D89" s="17"/>
      <c r="E89" s="18"/>
      <c r="F89" s="24"/>
      <c r="G89" s="116"/>
      <c r="H89" s="17"/>
      <c r="I89" s="17"/>
      <c r="J89" s="117"/>
      <c r="K89" s="17"/>
    </row>
    <row r="90" spans="1:11">
      <c r="A90" s="17">
        <v>85</v>
      </c>
      <c r="B90" s="17"/>
      <c r="C90" s="17"/>
      <c r="D90" s="17"/>
      <c r="E90" s="18"/>
      <c r="F90" s="24"/>
      <c r="G90" s="116"/>
      <c r="H90" s="17"/>
      <c r="I90" s="17"/>
      <c r="J90" s="117"/>
      <c r="K90" s="17"/>
    </row>
    <row r="91" spans="1:11">
      <c r="A91" s="17">
        <v>86</v>
      </c>
      <c r="B91" s="17"/>
      <c r="C91" s="17"/>
      <c r="D91" s="17"/>
      <c r="E91" s="18"/>
      <c r="F91" s="24"/>
      <c r="G91" s="116"/>
      <c r="H91" s="17"/>
      <c r="I91" s="17"/>
      <c r="J91" s="117"/>
      <c r="K91" s="17"/>
    </row>
    <row r="92" spans="1:11">
      <c r="A92" s="17">
        <v>87</v>
      </c>
      <c r="B92" s="17"/>
      <c r="C92" s="17"/>
      <c r="D92" s="17"/>
      <c r="E92" s="18"/>
      <c r="F92" s="24"/>
      <c r="G92" s="116"/>
      <c r="H92" s="17"/>
      <c r="I92" s="17"/>
      <c r="J92" s="117"/>
      <c r="K92" s="17"/>
    </row>
    <row r="93" spans="1:11">
      <c r="A93" s="17">
        <v>88</v>
      </c>
      <c r="B93" s="17"/>
      <c r="C93" s="17"/>
      <c r="D93" s="17"/>
      <c r="E93" s="18"/>
      <c r="F93" s="24"/>
      <c r="G93" s="116"/>
      <c r="H93" s="17"/>
      <c r="I93" s="17"/>
      <c r="J93" s="117"/>
      <c r="K93" s="17"/>
    </row>
    <row r="94" spans="1:11">
      <c r="A94" s="17">
        <v>89</v>
      </c>
      <c r="B94" s="17"/>
      <c r="C94" s="17"/>
      <c r="D94" s="17"/>
      <c r="E94" s="18"/>
      <c r="F94" s="24"/>
      <c r="G94" s="116"/>
      <c r="H94" s="17"/>
      <c r="I94" s="17"/>
      <c r="J94" s="117"/>
      <c r="K94" s="17"/>
    </row>
    <row r="95" spans="1:11">
      <c r="A95" s="17">
        <v>90</v>
      </c>
      <c r="B95" s="17"/>
      <c r="C95" s="17"/>
      <c r="D95" s="17"/>
      <c r="E95" s="18"/>
      <c r="F95" s="24"/>
      <c r="G95" s="116"/>
      <c r="H95" s="17"/>
      <c r="I95" s="17"/>
      <c r="J95" s="117"/>
      <c r="K95" s="17"/>
    </row>
    <row r="96" spans="1:11">
      <c r="A96" s="17">
        <v>91</v>
      </c>
      <c r="B96" s="17"/>
      <c r="C96" s="17"/>
      <c r="D96" s="17"/>
      <c r="E96" s="18"/>
      <c r="F96" s="24"/>
      <c r="G96" s="116"/>
      <c r="H96" s="17"/>
      <c r="I96" s="17"/>
      <c r="J96" s="117"/>
      <c r="K96" s="17"/>
    </row>
    <row r="97" spans="1:11">
      <c r="A97" s="17">
        <v>92</v>
      </c>
      <c r="B97" s="17"/>
      <c r="C97" s="17"/>
      <c r="D97" s="17"/>
      <c r="E97" s="18"/>
      <c r="F97" s="24"/>
      <c r="G97" s="116"/>
      <c r="H97" s="17"/>
      <c r="I97" s="17"/>
      <c r="J97" s="117"/>
      <c r="K97" s="17"/>
    </row>
    <row r="98" spans="1:11">
      <c r="A98" s="17">
        <v>93</v>
      </c>
      <c r="B98" s="17"/>
      <c r="C98" s="17"/>
      <c r="D98" s="17"/>
      <c r="E98" s="18"/>
      <c r="F98" s="24"/>
      <c r="G98" s="116"/>
      <c r="H98" s="17"/>
      <c r="I98" s="17"/>
      <c r="J98" s="117"/>
      <c r="K98" s="17"/>
    </row>
    <row r="99" spans="1:11">
      <c r="A99" s="17">
        <v>94</v>
      </c>
      <c r="B99" s="17"/>
      <c r="C99" s="17"/>
      <c r="D99" s="17"/>
      <c r="E99" s="18"/>
      <c r="F99" s="24"/>
      <c r="G99" s="116"/>
      <c r="H99" s="17"/>
      <c r="I99" s="17"/>
      <c r="J99" s="117"/>
      <c r="K99" s="17"/>
    </row>
    <row r="100" spans="1:11">
      <c r="A100" s="66"/>
      <c r="B100" s="66"/>
      <c r="C100" s="66"/>
      <c r="D100" s="66"/>
      <c r="E100" s="67"/>
      <c r="F100" s="71">
        <f>SUM(F7:F99)</f>
        <v>0</v>
      </c>
      <c r="G100" s="189">
        <f>SUM(G7:G99)</f>
        <v>0</v>
      </c>
      <c r="H100" s="66"/>
      <c r="I100" s="66"/>
      <c r="J100" s="190"/>
      <c r="K100" s="66"/>
    </row>
    <row r="101" spans="1:11">
      <c r="J101" s="115"/>
    </row>
    <row r="102" spans="1:11">
      <c r="J102" s="115"/>
    </row>
    <row r="103" spans="1:11">
      <c r="J103" s="115"/>
    </row>
    <row r="104" spans="1:11">
      <c r="J104" s="115"/>
    </row>
    <row r="105" spans="1:11">
      <c r="J105" s="115"/>
    </row>
    <row r="106" spans="1:11">
      <c r="J106" s="115"/>
    </row>
    <row r="107" spans="1:11">
      <c r="J107" s="115"/>
    </row>
    <row r="108" spans="1:11">
      <c r="J108" s="115"/>
    </row>
    <row r="109" spans="1:11">
      <c r="J109" s="115"/>
    </row>
    <row r="110" spans="1:11">
      <c r="J110" s="115"/>
    </row>
    <row r="111" spans="1:11">
      <c r="J111" s="115"/>
    </row>
    <row r="112" spans="1:11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2">
    <mergeCell ref="A1:K1"/>
    <mergeCell ref="B2:C2"/>
  </mergeCells>
  <hyperlinks>
    <hyperlink ref="K2" location="الاليات!A1" display="الاليات " xr:uid="{00000000-0004-0000-13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6" tint="0.39997558519241921"/>
  </sheetPr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77734375" style="1" bestFit="1" customWidth="1"/>
    <col min="3" max="3" width="12.77734375" style="1" bestFit="1" customWidth="1"/>
    <col min="4" max="4" width="4.5546875" style="1" bestFit="1" customWidth="1"/>
    <col min="5" max="5" width="11.109375" style="73" bestFit="1" customWidth="1"/>
    <col min="6" max="6" width="8.33203125" style="78" bestFit="1" customWidth="1"/>
    <col min="7" max="7" width="6.21875" style="122" bestFit="1" customWidth="1"/>
    <col min="8" max="8" width="13.44140625" style="1" bestFit="1" customWidth="1"/>
    <col min="9" max="9" width="10.21875" style="1" bestFit="1" customWidth="1"/>
    <col min="10" max="10" width="4.77734375" style="1" bestFit="1" customWidth="1"/>
    <col min="11" max="11" width="10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15</v>
      </c>
      <c r="B2" s="202" t="s">
        <v>840</v>
      </c>
      <c r="C2" s="203"/>
      <c r="D2" s="85"/>
      <c r="E2" s="86" t="s">
        <v>8</v>
      </c>
      <c r="F2" s="17">
        <v>2025</v>
      </c>
      <c r="G2" s="89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7" t="s">
        <v>694</v>
      </c>
      <c r="D3" s="89"/>
      <c r="E3" s="86" t="s">
        <v>68</v>
      </c>
      <c r="F3" s="35" t="s">
        <v>692</v>
      </c>
      <c r="G3" s="89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35"/>
      <c r="G4" s="81"/>
      <c r="H4" s="81"/>
      <c r="I4" s="17"/>
      <c r="J4" s="81"/>
      <c r="K4" s="17"/>
    </row>
    <row r="5" spans="1:11" ht="34.799999999999997">
      <c r="A5" s="35"/>
      <c r="B5" s="81" t="s">
        <v>855</v>
      </c>
      <c r="C5" s="35" t="s">
        <v>847</v>
      </c>
      <c r="D5" s="89"/>
      <c r="E5" s="86" t="s">
        <v>95</v>
      </c>
      <c r="F5" s="166"/>
      <c r="G5" s="81"/>
      <c r="H5" s="81" t="s">
        <v>96</v>
      </c>
      <c r="I5" s="117">
        <f>MAX(J7:J141)</f>
        <v>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17">
        <v>1</v>
      </c>
      <c r="B7" s="143"/>
      <c r="C7" s="143"/>
      <c r="D7" s="144"/>
      <c r="E7" s="143"/>
      <c r="F7" s="145"/>
      <c r="G7" s="116"/>
      <c r="H7" s="17"/>
      <c r="I7" s="81"/>
      <c r="J7" s="23"/>
      <c r="K7" s="81"/>
    </row>
    <row r="8" spans="1:11">
      <c r="A8" s="17">
        <v>3</v>
      </c>
      <c r="B8" s="143"/>
      <c r="C8" s="143"/>
      <c r="D8" s="144"/>
      <c r="E8" s="143"/>
      <c r="F8" s="145"/>
      <c r="G8" s="116"/>
      <c r="H8" s="17"/>
      <c r="I8" s="17"/>
      <c r="J8" s="117"/>
      <c r="K8" s="17"/>
    </row>
    <row r="9" spans="1:11">
      <c r="A9" s="17">
        <v>4</v>
      </c>
      <c r="B9" s="143"/>
      <c r="C9" s="143"/>
      <c r="D9" s="144"/>
      <c r="E9" s="143"/>
      <c r="F9" s="145"/>
      <c r="G9" s="116"/>
      <c r="H9" s="17"/>
      <c r="I9" s="17"/>
      <c r="J9" s="117"/>
      <c r="K9" s="17"/>
    </row>
    <row r="10" spans="1:11">
      <c r="A10" s="17">
        <v>5</v>
      </c>
      <c r="B10" s="143"/>
      <c r="C10" s="143"/>
      <c r="D10" s="144"/>
      <c r="E10" s="143"/>
      <c r="F10" s="145"/>
      <c r="G10" s="116"/>
      <c r="H10" s="17"/>
      <c r="I10" s="17"/>
      <c r="J10" s="117"/>
      <c r="K10" s="17"/>
    </row>
    <row r="11" spans="1:11">
      <c r="A11" s="17">
        <v>6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7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6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31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7">
        <v>32</v>
      </c>
      <c r="B37" s="17"/>
      <c r="C37" s="17"/>
      <c r="D37" s="17"/>
      <c r="E37" s="18"/>
      <c r="F37" s="24"/>
      <c r="G37" s="116"/>
      <c r="H37" s="17"/>
      <c r="I37" s="17"/>
      <c r="J37" s="117"/>
      <c r="K37" s="17"/>
    </row>
    <row r="38" spans="1:11">
      <c r="A38" s="17">
        <v>33</v>
      </c>
      <c r="B38" s="17"/>
      <c r="C38" s="17"/>
      <c r="D38" s="17"/>
      <c r="E38" s="18"/>
      <c r="F38" s="24"/>
      <c r="G38" s="116"/>
      <c r="H38" s="17"/>
      <c r="I38" s="17"/>
      <c r="J38" s="117"/>
      <c r="K38" s="17"/>
    </row>
    <row r="39" spans="1:11">
      <c r="A39" s="17">
        <v>34</v>
      </c>
      <c r="B39" s="17"/>
      <c r="C39" s="17"/>
      <c r="D39" s="17"/>
      <c r="E39" s="18"/>
      <c r="F39" s="24"/>
      <c r="G39" s="116"/>
      <c r="H39" s="17"/>
      <c r="I39" s="17"/>
      <c r="J39" s="117"/>
      <c r="K39" s="17"/>
    </row>
    <row r="40" spans="1:11">
      <c r="A40" s="17">
        <v>35</v>
      </c>
      <c r="B40" s="17"/>
      <c r="C40" s="17"/>
      <c r="D40" s="17"/>
      <c r="E40" s="18"/>
      <c r="F40" s="24"/>
      <c r="G40" s="116"/>
      <c r="H40" s="17"/>
      <c r="I40" s="17"/>
      <c r="J40" s="117"/>
      <c r="K40" s="17"/>
    </row>
    <row r="41" spans="1:11">
      <c r="A41" s="17">
        <v>36</v>
      </c>
      <c r="B41" s="17"/>
      <c r="C41" s="17"/>
      <c r="D41" s="17"/>
      <c r="E41" s="18"/>
      <c r="F41" s="24"/>
      <c r="G41" s="116"/>
      <c r="H41" s="17"/>
      <c r="I41" s="17"/>
      <c r="J41" s="117"/>
      <c r="K41" s="17"/>
    </row>
    <row r="42" spans="1:11">
      <c r="A42" s="17">
        <v>37</v>
      </c>
      <c r="B42" s="17"/>
      <c r="C42" s="17"/>
      <c r="D42" s="17"/>
      <c r="E42" s="18"/>
      <c r="F42" s="24"/>
      <c r="G42" s="116"/>
      <c r="H42" s="17"/>
      <c r="I42" s="17"/>
      <c r="J42" s="117"/>
      <c r="K42" s="17"/>
    </row>
    <row r="43" spans="1:11">
      <c r="A43" s="17">
        <v>38</v>
      </c>
      <c r="B43" s="17"/>
      <c r="C43" s="17"/>
      <c r="D43" s="17"/>
      <c r="E43" s="18"/>
      <c r="F43" s="24"/>
      <c r="G43" s="116"/>
      <c r="H43" s="17"/>
      <c r="I43" s="17"/>
      <c r="J43" s="117"/>
      <c r="K43" s="17"/>
    </row>
    <row r="44" spans="1:11">
      <c r="A44" s="17">
        <v>39</v>
      </c>
      <c r="B44" s="17"/>
      <c r="C44" s="17"/>
      <c r="D44" s="17"/>
      <c r="E44" s="18"/>
      <c r="F44" s="24"/>
      <c r="G44" s="116"/>
      <c r="H44" s="17"/>
      <c r="I44" s="17"/>
      <c r="J44" s="117"/>
      <c r="K44" s="17"/>
    </row>
    <row r="45" spans="1:11">
      <c r="A45" s="17">
        <v>40</v>
      </c>
      <c r="B45" s="17"/>
      <c r="C45" s="17"/>
      <c r="D45" s="17"/>
      <c r="E45" s="18"/>
      <c r="F45" s="24"/>
      <c r="G45" s="116"/>
      <c r="H45" s="17"/>
      <c r="I45" s="17"/>
      <c r="J45" s="117"/>
      <c r="K45" s="17"/>
    </row>
    <row r="46" spans="1:11">
      <c r="A46" s="17">
        <v>41</v>
      </c>
      <c r="B46" s="17"/>
      <c r="C46" s="17"/>
      <c r="D46" s="17"/>
      <c r="E46" s="18"/>
      <c r="F46" s="24"/>
      <c r="G46" s="116"/>
      <c r="H46" s="17"/>
      <c r="I46" s="17"/>
      <c r="J46" s="117"/>
      <c r="K46" s="17"/>
    </row>
    <row r="47" spans="1:11">
      <c r="A47" s="17">
        <v>42</v>
      </c>
      <c r="B47" s="17"/>
      <c r="C47" s="17"/>
      <c r="D47" s="17"/>
      <c r="E47" s="18"/>
      <c r="F47" s="24"/>
      <c r="G47" s="116"/>
      <c r="H47" s="17"/>
      <c r="I47" s="17"/>
      <c r="J47" s="117"/>
      <c r="K47" s="17"/>
    </row>
    <row r="48" spans="1:11">
      <c r="A48" s="17">
        <v>43</v>
      </c>
      <c r="B48" s="17"/>
      <c r="C48" s="17"/>
      <c r="D48" s="17"/>
      <c r="E48" s="18"/>
      <c r="F48" s="24"/>
      <c r="G48" s="116"/>
      <c r="H48" s="17"/>
      <c r="I48" s="17"/>
      <c r="J48" s="117"/>
      <c r="K48" s="17"/>
    </row>
    <row r="49" spans="1:11">
      <c r="A49" s="17">
        <v>44</v>
      </c>
      <c r="B49" s="17"/>
      <c r="C49" s="17"/>
      <c r="D49" s="17"/>
      <c r="E49" s="18"/>
      <c r="F49" s="24"/>
      <c r="G49" s="116"/>
      <c r="H49" s="17"/>
      <c r="I49" s="17"/>
      <c r="J49" s="117"/>
      <c r="K49" s="17"/>
    </row>
    <row r="50" spans="1:11">
      <c r="A50" s="17">
        <v>45</v>
      </c>
      <c r="B50" s="17"/>
      <c r="C50" s="17"/>
      <c r="D50" s="17"/>
      <c r="E50" s="18"/>
      <c r="F50" s="24"/>
      <c r="G50" s="116"/>
      <c r="H50" s="17"/>
      <c r="I50" s="17"/>
      <c r="J50" s="117"/>
      <c r="K50" s="17"/>
    </row>
    <row r="51" spans="1:11">
      <c r="A51" s="17">
        <v>46</v>
      </c>
      <c r="B51" s="17"/>
      <c r="C51" s="17"/>
      <c r="D51" s="17"/>
      <c r="E51" s="18"/>
      <c r="F51" s="24"/>
      <c r="G51" s="116"/>
      <c r="H51" s="17"/>
      <c r="I51" s="17"/>
      <c r="J51" s="117"/>
      <c r="K51" s="17"/>
    </row>
    <row r="52" spans="1:11">
      <c r="A52" s="17">
        <v>47</v>
      </c>
      <c r="B52" s="17"/>
      <c r="C52" s="17"/>
      <c r="D52" s="17"/>
      <c r="E52" s="18"/>
      <c r="F52" s="24"/>
      <c r="G52" s="116"/>
      <c r="H52" s="17"/>
      <c r="I52" s="17"/>
      <c r="J52" s="117"/>
      <c r="K52" s="17"/>
    </row>
    <row r="53" spans="1:11">
      <c r="A53" s="17">
        <v>48</v>
      </c>
      <c r="B53" s="17"/>
      <c r="C53" s="17"/>
      <c r="D53" s="17"/>
      <c r="E53" s="18"/>
      <c r="F53" s="24"/>
      <c r="G53" s="116"/>
      <c r="H53" s="17"/>
      <c r="I53" s="17"/>
      <c r="J53" s="117"/>
      <c r="K53" s="17"/>
    </row>
    <row r="54" spans="1:11">
      <c r="A54" s="17">
        <v>49</v>
      </c>
      <c r="B54" s="17"/>
      <c r="C54" s="17"/>
      <c r="D54" s="17"/>
      <c r="E54" s="18"/>
      <c r="F54" s="24"/>
      <c r="G54" s="116"/>
      <c r="H54" s="17"/>
      <c r="I54" s="17"/>
      <c r="J54" s="117"/>
      <c r="K54" s="17"/>
    </row>
    <row r="55" spans="1:11">
      <c r="A55" s="17">
        <v>50</v>
      </c>
      <c r="B55" s="17"/>
      <c r="C55" s="17"/>
      <c r="D55" s="17"/>
      <c r="E55" s="18"/>
      <c r="F55" s="24"/>
      <c r="G55" s="116"/>
      <c r="H55" s="17"/>
      <c r="I55" s="17"/>
      <c r="J55" s="117"/>
      <c r="K55" s="17"/>
    </row>
    <row r="56" spans="1:11">
      <c r="A56" s="17">
        <v>51</v>
      </c>
      <c r="B56" s="17"/>
      <c r="C56" s="17"/>
      <c r="D56" s="17"/>
      <c r="E56" s="18"/>
      <c r="F56" s="24"/>
      <c r="G56" s="116"/>
      <c r="H56" s="17"/>
      <c r="I56" s="17"/>
      <c r="J56" s="117"/>
      <c r="K56" s="17"/>
    </row>
    <row r="57" spans="1:11">
      <c r="A57" s="17">
        <v>52</v>
      </c>
      <c r="B57" s="17"/>
      <c r="C57" s="17"/>
      <c r="D57" s="17"/>
      <c r="E57" s="18"/>
      <c r="F57" s="24"/>
      <c r="G57" s="116"/>
      <c r="H57" s="17"/>
      <c r="I57" s="17"/>
      <c r="J57" s="117"/>
      <c r="K57" s="17"/>
    </row>
    <row r="58" spans="1:11">
      <c r="A58" s="17">
        <v>53</v>
      </c>
      <c r="B58" s="17"/>
      <c r="C58" s="17"/>
      <c r="D58" s="17"/>
      <c r="E58" s="18"/>
      <c r="F58" s="24"/>
      <c r="G58" s="116"/>
      <c r="H58" s="17"/>
      <c r="I58" s="17"/>
      <c r="J58" s="117"/>
      <c r="K58" s="17"/>
    </row>
    <row r="59" spans="1:11">
      <c r="A59" s="17">
        <v>54</v>
      </c>
      <c r="B59" s="17"/>
      <c r="C59" s="17"/>
      <c r="D59" s="17"/>
      <c r="E59" s="18"/>
      <c r="F59" s="24"/>
      <c r="G59" s="116"/>
      <c r="H59" s="17"/>
      <c r="I59" s="17"/>
      <c r="J59" s="117"/>
      <c r="K59" s="17"/>
    </row>
    <row r="60" spans="1:11">
      <c r="A60" s="17">
        <v>55</v>
      </c>
      <c r="B60" s="17"/>
      <c r="C60" s="17"/>
      <c r="D60" s="17"/>
      <c r="E60" s="18"/>
      <c r="F60" s="24"/>
      <c r="G60" s="116"/>
      <c r="H60" s="17"/>
      <c r="I60" s="17"/>
      <c r="J60" s="117"/>
      <c r="K60" s="17"/>
    </row>
    <row r="61" spans="1:11">
      <c r="A61" s="17">
        <v>56</v>
      </c>
      <c r="B61" s="17"/>
      <c r="C61" s="17"/>
      <c r="D61" s="17"/>
      <c r="E61" s="18"/>
      <c r="F61" s="24"/>
      <c r="G61" s="116"/>
      <c r="H61" s="17"/>
      <c r="I61" s="17"/>
      <c r="J61" s="117"/>
      <c r="K61" s="17"/>
    </row>
    <row r="62" spans="1:11">
      <c r="A62" s="17">
        <v>57</v>
      </c>
      <c r="B62" s="17"/>
      <c r="C62" s="17"/>
      <c r="D62" s="17"/>
      <c r="E62" s="18"/>
      <c r="F62" s="24"/>
      <c r="G62" s="116"/>
      <c r="H62" s="17"/>
      <c r="I62" s="17"/>
      <c r="J62" s="117"/>
      <c r="K62" s="17"/>
    </row>
    <row r="63" spans="1:11">
      <c r="A63" s="17">
        <v>58</v>
      </c>
      <c r="B63" s="17"/>
      <c r="C63" s="17"/>
      <c r="D63" s="17"/>
      <c r="E63" s="18"/>
      <c r="F63" s="24"/>
      <c r="G63" s="116"/>
      <c r="H63" s="17"/>
      <c r="I63" s="17"/>
      <c r="J63" s="117"/>
      <c r="K63" s="17"/>
    </row>
    <row r="64" spans="1:11">
      <c r="A64" s="17">
        <v>59</v>
      </c>
      <c r="B64" s="17"/>
      <c r="C64" s="17"/>
      <c r="D64" s="17"/>
      <c r="E64" s="18"/>
      <c r="F64" s="24"/>
      <c r="G64" s="116"/>
      <c r="H64" s="17"/>
      <c r="I64" s="17"/>
      <c r="J64" s="117"/>
      <c r="K64" s="17"/>
    </row>
    <row r="65" spans="1:11">
      <c r="A65" s="17">
        <v>60</v>
      </c>
      <c r="B65" s="17"/>
      <c r="C65" s="17"/>
      <c r="D65" s="17"/>
      <c r="E65" s="18"/>
      <c r="F65" s="24"/>
      <c r="G65" s="116"/>
      <c r="H65" s="17"/>
      <c r="I65" s="17"/>
      <c r="J65" s="117"/>
      <c r="K65" s="17"/>
    </row>
    <row r="66" spans="1:11">
      <c r="A66" s="17">
        <v>61</v>
      </c>
      <c r="B66" s="17"/>
      <c r="C66" s="17"/>
      <c r="D66" s="17"/>
      <c r="E66" s="18"/>
      <c r="F66" s="24"/>
      <c r="G66" s="116"/>
      <c r="H66" s="17"/>
      <c r="I66" s="17"/>
      <c r="J66" s="117"/>
      <c r="K66" s="17"/>
    </row>
    <row r="67" spans="1:11">
      <c r="A67" s="17">
        <v>62</v>
      </c>
      <c r="B67" s="17"/>
      <c r="C67" s="17"/>
      <c r="D67" s="17"/>
      <c r="E67" s="18"/>
      <c r="F67" s="24"/>
      <c r="G67" s="116"/>
      <c r="H67" s="17"/>
      <c r="I67" s="17"/>
      <c r="J67" s="117"/>
      <c r="K67" s="17"/>
    </row>
    <row r="68" spans="1:11">
      <c r="A68" s="17">
        <v>63</v>
      </c>
      <c r="B68" s="17"/>
      <c r="C68" s="17"/>
      <c r="D68" s="17"/>
      <c r="E68" s="18"/>
      <c r="F68" s="24"/>
      <c r="G68" s="116"/>
      <c r="H68" s="17"/>
      <c r="I68" s="17"/>
      <c r="J68" s="117"/>
      <c r="K68" s="17"/>
    </row>
    <row r="69" spans="1:11">
      <c r="A69" s="17">
        <v>64</v>
      </c>
      <c r="B69" s="17"/>
      <c r="C69" s="17"/>
      <c r="D69" s="17"/>
      <c r="E69" s="18"/>
      <c r="F69" s="24"/>
      <c r="G69" s="116"/>
      <c r="H69" s="17"/>
      <c r="I69" s="17"/>
      <c r="J69" s="117"/>
      <c r="K69" s="17"/>
    </row>
    <row r="70" spans="1:11">
      <c r="A70" s="17">
        <v>65</v>
      </c>
      <c r="B70" s="17"/>
      <c r="C70" s="17"/>
      <c r="D70" s="17"/>
      <c r="E70" s="18"/>
      <c r="F70" s="24"/>
      <c r="G70" s="116"/>
      <c r="H70" s="17"/>
      <c r="I70" s="17"/>
      <c r="J70" s="117"/>
      <c r="K70" s="17"/>
    </row>
    <row r="71" spans="1:11">
      <c r="A71" s="17">
        <v>66</v>
      </c>
      <c r="B71" s="17"/>
      <c r="C71" s="17"/>
      <c r="D71" s="17"/>
      <c r="E71" s="18"/>
      <c r="F71" s="24"/>
      <c r="G71" s="116"/>
      <c r="H71" s="17"/>
      <c r="I71" s="17"/>
      <c r="J71" s="117"/>
      <c r="K71" s="17"/>
    </row>
    <row r="72" spans="1:11">
      <c r="A72" s="17">
        <v>67</v>
      </c>
      <c r="B72" s="17"/>
      <c r="C72" s="17"/>
      <c r="D72" s="17"/>
      <c r="E72" s="18"/>
      <c r="F72" s="24"/>
      <c r="G72" s="116"/>
      <c r="H72" s="17"/>
      <c r="I72" s="17"/>
      <c r="J72" s="117"/>
      <c r="K72" s="17"/>
    </row>
    <row r="73" spans="1:11">
      <c r="A73" s="17">
        <v>68</v>
      </c>
      <c r="B73" s="17"/>
      <c r="C73" s="17"/>
      <c r="D73" s="17"/>
      <c r="E73" s="18"/>
      <c r="F73" s="24"/>
      <c r="G73" s="116"/>
      <c r="H73" s="17"/>
      <c r="I73" s="17"/>
      <c r="J73" s="117"/>
      <c r="K73" s="17"/>
    </row>
    <row r="74" spans="1:11">
      <c r="A74" s="17">
        <v>69</v>
      </c>
      <c r="B74" s="17"/>
      <c r="C74" s="17"/>
      <c r="D74" s="17"/>
      <c r="E74" s="18"/>
      <c r="F74" s="24"/>
      <c r="G74" s="116"/>
      <c r="H74" s="17"/>
      <c r="I74" s="17"/>
      <c r="J74" s="117"/>
      <c r="K74" s="17"/>
    </row>
    <row r="75" spans="1:11">
      <c r="A75" s="17">
        <v>70</v>
      </c>
      <c r="B75" s="17"/>
      <c r="C75" s="17"/>
      <c r="D75" s="17"/>
      <c r="E75" s="18"/>
      <c r="F75" s="24"/>
      <c r="G75" s="116"/>
      <c r="H75" s="17"/>
      <c r="I75" s="17"/>
      <c r="J75" s="117"/>
      <c r="K75" s="17"/>
    </row>
    <row r="76" spans="1:11">
      <c r="A76" s="17">
        <v>71</v>
      </c>
      <c r="B76" s="17"/>
      <c r="C76" s="17"/>
      <c r="D76" s="17"/>
      <c r="E76" s="18"/>
      <c r="F76" s="24"/>
      <c r="G76" s="116"/>
      <c r="H76" s="17"/>
      <c r="I76" s="17"/>
      <c r="J76" s="117"/>
      <c r="K76" s="17"/>
    </row>
    <row r="77" spans="1:11">
      <c r="A77" s="17">
        <v>72</v>
      </c>
      <c r="B77" s="17"/>
      <c r="C77" s="17"/>
      <c r="D77" s="17"/>
      <c r="E77" s="18"/>
      <c r="F77" s="24"/>
      <c r="G77" s="116"/>
      <c r="H77" s="17"/>
      <c r="I77" s="17"/>
      <c r="J77" s="117"/>
      <c r="K77" s="17"/>
    </row>
    <row r="78" spans="1:11">
      <c r="A78" s="17">
        <v>73</v>
      </c>
      <c r="B78" s="17"/>
      <c r="C78" s="17"/>
      <c r="D78" s="17"/>
      <c r="E78" s="18"/>
      <c r="F78" s="24"/>
      <c r="G78" s="116"/>
      <c r="H78" s="17"/>
      <c r="I78" s="17"/>
      <c r="J78" s="117"/>
      <c r="K78" s="17"/>
    </row>
    <row r="79" spans="1:11">
      <c r="A79" s="17">
        <v>74</v>
      </c>
      <c r="B79" s="17"/>
      <c r="C79" s="17"/>
      <c r="D79" s="17"/>
      <c r="E79" s="18"/>
      <c r="F79" s="24"/>
      <c r="G79" s="116"/>
      <c r="H79" s="17"/>
      <c r="I79" s="17"/>
      <c r="J79" s="117"/>
      <c r="K79" s="17"/>
    </row>
    <row r="80" spans="1:11">
      <c r="A80" s="17">
        <v>75</v>
      </c>
      <c r="B80" s="17"/>
      <c r="C80" s="17"/>
      <c r="D80" s="17"/>
      <c r="E80" s="18"/>
      <c r="F80" s="24"/>
      <c r="G80" s="116"/>
      <c r="H80" s="17"/>
      <c r="I80" s="17"/>
      <c r="J80" s="117"/>
      <c r="K80" s="17"/>
    </row>
    <row r="81" spans="1:11">
      <c r="A81" s="17">
        <v>76</v>
      </c>
      <c r="B81" s="17"/>
      <c r="C81" s="17"/>
      <c r="D81" s="17"/>
      <c r="E81" s="18"/>
      <c r="F81" s="24"/>
      <c r="G81" s="116"/>
      <c r="H81" s="17"/>
      <c r="I81" s="17"/>
      <c r="J81" s="117"/>
      <c r="K81" s="17"/>
    </row>
    <row r="82" spans="1:11">
      <c r="A82" s="17">
        <v>77</v>
      </c>
      <c r="B82" s="17"/>
      <c r="C82" s="17"/>
      <c r="D82" s="17"/>
      <c r="E82" s="18"/>
      <c r="F82" s="24"/>
      <c r="G82" s="116"/>
      <c r="H82" s="17"/>
      <c r="I82" s="17"/>
      <c r="J82" s="117"/>
      <c r="K82" s="17"/>
    </row>
    <row r="83" spans="1:11">
      <c r="A83" s="17">
        <v>78</v>
      </c>
      <c r="B83" s="17"/>
      <c r="C83" s="17"/>
      <c r="D83" s="17"/>
      <c r="E83" s="18"/>
      <c r="F83" s="24"/>
      <c r="G83" s="116"/>
      <c r="H83" s="17"/>
      <c r="I83" s="17"/>
      <c r="J83" s="117"/>
      <c r="K83" s="17"/>
    </row>
    <row r="84" spans="1:11">
      <c r="A84" s="17">
        <v>79</v>
      </c>
      <c r="B84" s="17"/>
      <c r="C84" s="17"/>
      <c r="D84" s="17"/>
      <c r="E84" s="18"/>
      <c r="F84" s="24"/>
      <c r="G84" s="116"/>
      <c r="H84" s="17"/>
      <c r="I84" s="17"/>
      <c r="J84" s="117"/>
      <c r="K84" s="17"/>
    </row>
    <row r="85" spans="1:11">
      <c r="A85" s="17">
        <v>80</v>
      </c>
      <c r="B85" s="17"/>
      <c r="C85" s="17"/>
      <c r="D85" s="17"/>
      <c r="E85" s="18"/>
      <c r="F85" s="24"/>
      <c r="G85" s="116"/>
      <c r="H85" s="17"/>
      <c r="I85" s="17"/>
      <c r="J85" s="117"/>
      <c r="K85" s="17"/>
    </row>
    <row r="86" spans="1:11">
      <c r="A86" s="17">
        <v>81</v>
      </c>
      <c r="B86" s="17"/>
      <c r="C86" s="17"/>
      <c r="D86" s="17"/>
      <c r="E86" s="18"/>
      <c r="F86" s="24"/>
      <c r="G86" s="116"/>
      <c r="H86" s="17"/>
      <c r="I86" s="17"/>
      <c r="J86" s="117"/>
      <c r="K86" s="17"/>
    </row>
    <row r="87" spans="1:11">
      <c r="A87" s="17">
        <v>82</v>
      </c>
      <c r="B87" s="17"/>
      <c r="C87" s="17"/>
      <c r="D87" s="17"/>
      <c r="E87" s="18"/>
      <c r="F87" s="24"/>
      <c r="G87" s="116"/>
      <c r="H87" s="17"/>
      <c r="I87" s="17"/>
      <c r="J87" s="117"/>
      <c r="K87" s="17"/>
    </row>
    <row r="88" spans="1:11">
      <c r="A88" s="17">
        <v>83</v>
      </c>
      <c r="B88" s="17"/>
      <c r="C88" s="17"/>
      <c r="D88" s="17"/>
      <c r="E88" s="18"/>
      <c r="F88" s="24"/>
      <c r="G88" s="116"/>
      <c r="H88" s="17"/>
      <c r="I88" s="17"/>
      <c r="J88" s="117"/>
      <c r="K88" s="17"/>
    </row>
    <row r="89" spans="1:11">
      <c r="A89" s="17">
        <v>84</v>
      </c>
      <c r="B89" s="17"/>
      <c r="C89" s="17"/>
      <c r="D89" s="17"/>
      <c r="E89" s="18"/>
      <c r="F89" s="24"/>
      <c r="G89" s="116"/>
      <c r="H89" s="17"/>
      <c r="I89" s="17"/>
      <c r="J89" s="117"/>
      <c r="K89" s="17"/>
    </row>
    <row r="90" spans="1:11">
      <c r="A90" s="17">
        <v>85</v>
      </c>
      <c r="B90" s="17"/>
      <c r="C90" s="17"/>
      <c r="D90" s="17"/>
      <c r="E90" s="18"/>
      <c r="F90" s="24"/>
      <c r="G90" s="116"/>
      <c r="H90" s="17"/>
      <c r="I90" s="17"/>
      <c r="J90" s="117"/>
      <c r="K90" s="17"/>
    </row>
    <row r="91" spans="1:11">
      <c r="A91" s="17">
        <v>86</v>
      </c>
      <c r="B91" s="17"/>
      <c r="C91" s="17"/>
      <c r="D91" s="17"/>
      <c r="E91" s="18"/>
      <c r="F91" s="24"/>
      <c r="G91" s="116"/>
      <c r="H91" s="17"/>
      <c r="I91" s="17"/>
      <c r="J91" s="117"/>
      <c r="K91" s="17"/>
    </row>
    <row r="92" spans="1:11">
      <c r="A92" s="17">
        <v>87</v>
      </c>
      <c r="B92" s="17"/>
      <c r="C92" s="17"/>
      <c r="D92" s="17"/>
      <c r="E92" s="18"/>
      <c r="F92" s="24"/>
      <c r="G92" s="116"/>
      <c r="H92" s="17"/>
      <c r="I92" s="17"/>
      <c r="J92" s="117"/>
      <c r="K92" s="17"/>
    </row>
    <row r="93" spans="1:11">
      <c r="A93" s="17">
        <v>88</v>
      </c>
      <c r="B93" s="17"/>
      <c r="C93" s="17"/>
      <c r="D93" s="17"/>
      <c r="E93" s="18"/>
      <c r="F93" s="24"/>
      <c r="G93" s="116"/>
      <c r="H93" s="17"/>
      <c r="I93" s="17"/>
      <c r="J93" s="117"/>
      <c r="K93" s="17"/>
    </row>
    <row r="94" spans="1:11">
      <c r="A94" s="17">
        <v>89</v>
      </c>
      <c r="B94" s="17"/>
      <c r="C94" s="17"/>
      <c r="D94" s="17"/>
      <c r="E94" s="18"/>
      <c r="F94" s="24"/>
      <c r="G94" s="116"/>
      <c r="H94" s="17"/>
      <c r="I94" s="17"/>
      <c r="J94" s="117"/>
      <c r="K94" s="17"/>
    </row>
    <row r="95" spans="1:11">
      <c r="A95" s="17">
        <v>90</v>
      </c>
      <c r="B95" s="17"/>
      <c r="C95" s="17"/>
      <c r="D95" s="17"/>
      <c r="E95" s="18"/>
      <c r="F95" s="24"/>
      <c r="G95" s="116"/>
      <c r="H95" s="17"/>
      <c r="I95" s="17"/>
      <c r="J95" s="117"/>
      <c r="K95" s="17"/>
    </row>
    <row r="96" spans="1:11">
      <c r="A96" s="17">
        <v>91</v>
      </c>
      <c r="B96" s="17"/>
      <c r="C96" s="17"/>
      <c r="D96" s="17"/>
      <c r="E96" s="18"/>
      <c r="F96" s="24"/>
      <c r="G96" s="116"/>
      <c r="H96" s="17"/>
      <c r="I96" s="17"/>
      <c r="J96" s="117"/>
      <c r="K96" s="17"/>
    </row>
    <row r="97" spans="1:11">
      <c r="A97" s="17">
        <v>92</v>
      </c>
      <c r="B97" s="17"/>
      <c r="C97" s="17"/>
      <c r="D97" s="17"/>
      <c r="E97" s="18"/>
      <c r="F97" s="24"/>
      <c r="G97" s="116"/>
      <c r="H97" s="17"/>
      <c r="I97" s="17"/>
      <c r="J97" s="117"/>
      <c r="K97" s="17"/>
    </row>
    <row r="98" spans="1:11">
      <c r="A98" s="17">
        <v>93</v>
      </c>
      <c r="B98" s="17"/>
      <c r="C98" s="17"/>
      <c r="D98" s="17"/>
      <c r="E98" s="18"/>
      <c r="F98" s="24"/>
      <c r="G98" s="116"/>
      <c r="H98" s="17"/>
      <c r="I98" s="17"/>
      <c r="J98" s="117"/>
      <c r="K98" s="17"/>
    </row>
    <row r="99" spans="1:11">
      <c r="A99" s="17">
        <v>94</v>
      </c>
      <c r="B99" s="17"/>
      <c r="C99" s="17"/>
      <c r="D99" s="17"/>
      <c r="E99" s="18"/>
      <c r="F99" s="24"/>
      <c r="G99" s="116"/>
      <c r="H99" s="17"/>
      <c r="I99" s="17"/>
      <c r="J99" s="117"/>
      <c r="K99" s="17"/>
    </row>
    <row r="100" spans="1:11">
      <c r="A100" s="66"/>
      <c r="B100" s="66"/>
      <c r="C100" s="66"/>
      <c r="D100" s="66"/>
      <c r="E100" s="67"/>
      <c r="F100" s="71">
        <f>SUM(F7:F99)</f>
        <v>0</v>
      </c>
      <c r="G100" s="189">
        <f>SUM(G7:G99)</f>
        <v>0</v>
      </c>
      <c r="H100" s="66"/>
      <c r="I100" s="66"/>
      <c r="J100" s="190"/>
      <c r="K100" s="66"/>
    </row>
    <row r="101" spans="1:11">
      <c r="J101" s="115"/>
    </row>
    <row r="102" spans="1:11">
      <c r="J102" s="115"/>
    </row>
    <row r="103" spans="1:11">
      <c r="J103" s="115"/>
    </row>
    <row r="104" spans="1:11">
      <c r="J104" s="115"/>
    </row>
    <row r="105" spans="1:11">
      <c r="J105" s="115"/>
    </row>
    <row r="106" spans="1:11">
      <c r="J106" s="115"/>
    </row>
    <row r="107" spans="1:11">
      <c r="J107" s="115"/>
    </row>
    <row r="108" spans="1:11">
      <c r="J108" s="115"/>
    </row>
    <row r="109" spans="1:11">
      <c r="J109" s="115"/>
    </row>
    <row r="110" spans="1:11">
      <c r="J110" s="115"/>
    </row>
    <row r="111" spans="1:11">
      <c r="J111" s="115"/>
    </row>
    <row r="112" spans="1:11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2">
    <mergeCell ref="A1:K1"/>
    <mergeCell ref="B2:C2"/>
  </mergeCells>
  <hyperlinks>
    <hyperlink ref="K2" location="الاليات!A1" display="الاليات " xr:uid="{00000000-0004-0000-14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6" tint="0.39997558519241921"/>
  </sheetPr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2.77734375" style="1" bestFit="1" customWidth="1"/>
    <col min="4" max="4" width="4.5546875" style="1" bestFit="1" customWidth="1"/>
    <col min="5" max="5" width="11" style="73" bestFit="1" customWidth="1"/>
    <col min="6" max="6" width="8.21875" style="78" bestFit="1" customWidth="1"/>
    <col min="7" max="7" width="6.109375" style="122" bestFit="1" customWidth="1"/>
    <col min="8" max="8" width="13.44140625" style="1" bestFit="1" customWidth="1"/>
    <col min="9" max="9" width="11.88671875" style="1" bestFit="1" customWidth="1"/>
    <col min="10" max="10" width="4.33203125" style="1" bestFit="1" customWidth="1"/>
    <col min="11" max="11" width="9.2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15</v>
      </c>
      <c r="B2" s="202" t="s">
        <v>840</v>
      </c>
      <c r="C2" s="203"/>
      <c r="D2" s="85"/>
      <c r="E2" s="86" t="s">
        <v>8</v>
      </c>
      <c r="F2" s="17">
        <v>2025</v>
      </c>
      <c r="G2" s="89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7" t="s">
        <v>694</v>
      </c>
      <c r="D3" s="89"/>
      <c r="E3" s="86" t="s">
        <v>68</v>
      </c>
      <c r="F3" s="35" t="s">
        <v>692</v>
      </c>
      <c r="G3" s="89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35"/>
      <c r="G4" s="81"/>
      <c r="H4" s="81"/>
      <c r="I4" s="17"/>
      <c r="J4" s="81"/>
      <c r="K4" s="17"/>
    </row>
    <row r="5" spans="1:11" ht="34.799999999999997">
      <c r="A5" s="35"/>
      <c r="B5" s="81" t="s">
        <v>855</v>
      </c>
      <c r="C5" s="35" t="s">
        <v>847</v>
      </c>
      <c r="D5" s="89"/>
      <c r="E5" s="86" t="s">
        <v>95</v>
      </c>
      <c r="F5" s="166"/>
      <c r="G5" s="81"/>
      <c r="H5" s="81" t="s">
        <v>96</v>
      </c>
      <c r="I5" s="117">
        <f>MAX(J7:J141)</f>
        <v>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17">
        <v>1</v>
      </c>
      <c r="B7" s="143"/>
      <c r="C7" s="143"/>
      <c r="D7" s="144"/>
      <c r="E7" s="143"/>
      <c r="F7" s="145"/>
      <c r="G7" s="116"/>
      <c r="H7" s="17"/>
      <c r="I7" s="81"/>
      <c r="J7" s="23"/>
      <c r="K7" s="81"/>
    </row>
    <row r="8" spans="1:11">
      <c r="A8" s="17">
        <v>3</v>
      </c>
      <c r="B8" s="143"/>
      <c r="C8" s="143"/>
      <c r="D8" s="144"/>
      <c r="E8" s="143"/>
      <c r="F8" s="145"/>
      <c r="G8" s="116"/>
      <c r="H8" s="17"/>
      <c r="I8" s="17"/>
      <c r="J8" s="117"/>
      <c r="K8" s="17"/>
    </row>
    <row r="9" spans="1:11">
      <c r="A9" s="17">
        <v>4</v>
      </c>
      <c r="B9" s="143"/>
      <c r="C9" s="143"/>
      <c r="D9" s="144"/>
      <c r="E9" s="143"/>
      <c r="F9" s="145"/>
      <c r="G9" s="116"/>
      <c r="H9" s="17"/>
      <c r="I9" s="17"/>
      <c r="J9" s="117"/>
      <c r="K9" s="17"/>
    </row>
    <row r="10" spans="1:11">
      <c r="A10" s="17">
        <v>5</v>
      </c>
      <c r="B10" s="143"/>
      <c r="C10" s="143"/>
      <c r="D10" s="144"/>
      <c r="E10" s="143"/>
      <c r="F10" s="145"/>
      <c r="G10" s="116"/>
      <c r="H10" s="17"/>
      <c r="I10" s="17"/>
      <c r="J10" s="117"/>
      <c r="K10" s="17"/>
    </row>
    <row r="11" spans="1:11">
      <c r="A11" s="17">
        <v>6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7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6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31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7">
        <v>32</v>
      </c>
      <c r="B37" s="17"/>
      <c r="C37" s="17"/>
      <c r="D37" s="17"/>
      <c r="E37" s="18"/>
      <c r="F37" s="24"/>
      <c r="G37" s="116"/>
      <c r="H37" s="17"/>
      <c r="I37" s="17"/>
      <c r="J37" s="117"/>
      <c r="K37" s="17"/>
    </row>
    <row r="38" spans="1:11">
      <c r="A38" s="17">
        <v>33</v>
      </c>
      <c r="B38" s="17"/>
      <c r="C38" s="17"/>
      <c r="D38" s="17"/>
      <c r="E38" s="18"/>
      <c r="F38" s="24"/>
      <c r="G38" s="116"/>
      <c r="H38" s="17"/>
      <c r="I38" s="17"/>
      <c r="J38" s="117"/>
      <c r="K38" s="17"/>
    </row>
    <row r="39" spans="1:11">
      <c r="A39" s="17">
        <v>34</v>
      </c>
      <c r="B39" s="17"/>
      <c r="C39" s="17"/>
      <c r="D39" s="17"/>
      <c r="E39" s="18"/>
      <c r="F39" s="24"/>
      <c r="G39" s="116"/>
      <c r="H39" s="17"/>
      <c r="I39" s="17"/>
      <c r="J39" s="117"/>
      <c r="K39" s="17"/>
    </row>
    <row r="40" spans="1:11">
      <c r="A40" s="17">
        <v>35</v>
      </c>
      <c r="B40" s="17"/>
      <c r="C40" s="17"/>
      <c r="D40" s="17"/>
      <c r="E40" s="18"/>
      <c r="F40" s="24"/>
      <c r="G40" s="116"/>
      <c r="H40" s="17"/>
      <c r="I40" s="17"/>
      <c r="J40" s="117"/>
      <c r="K40" s="17"/>
    </row>
    <row r="41" spans="1:11">
      <c r="A41" s="17">
        <v>36</v>
      </c>
      <c r="B41" s="17"/>
      <c r="C41" s="17"/>
      <c r="D41" s="17"/>
      <c r="E41" s="18"/>
      <c r="F41" s="24"/>
      <c r="G41" s="116"/>
      <c r="H41" s="17"/>
      <c r="I41" s="17"/>
      <c r="J41" s="117"/>
      <c r="K41" s="17"/>
    </row>
    <row r="42" spans="1:11">
      <c r="A42" s="17">
        <v>37</v>
      </c>
      <c r="B42" s="17"/>
      <c r="C42" s="17"/>
      <c r="D42" s="17"/>
      <c r="E42" s="18"/>
      <c r="F42" s="24"/>
      <c r="G42" s="116"/>
      <c r="H42" s="17"/>
      <c r="I42" s="17"/>
      <c r="J42" s="117"/>
      <c r="K42" s="17"/>
    </row>
    <row r="43" spans="1:11">
      <c r="A43" s="17">
        <v>38</v>
      </c>
      <c r="B43" s="17"/>
      <c r="C43" s="17"/>
      <c r="D43" s="17"/>
      <c r="E43" s="18"/>
      <c r="F43" s="24"/>
      <c r="G43" s="116"/>
      <c r="H43" s="17"/>
      <c r="I43" s="17"/>
      <c r="J43" s="117"/>
      <c r="K43" s="17"/>
    </row>
    <row r="44" spans="1:11">
      <c r="A44" s="17">
        <v>39</v>
      </c>
      <c r="B44" s="17"/>
      <c r="C44" s="17"/>
      <c r="D44" s="17"/>
      <c r="E44" s="18"/>
      <c r="F44" s="24"/>
      <c r="G44" s="116"/>
      <c r="H44" s="17"/>
      <c r="I44" s="17"/>
      <c r="J44" s="117"/>
      <c r="K44" s="17"/>
    </row>
    <row r="45" spans="1:11">
      <c r="A45" s="17">
        <v>40</v>
      </c>
      <c r="B45" s="17"/>
      <c r="C45" s="17"/>
      <c r="D45" s="17"/>
      <c r="E45" s="18"/>
      <c r="F45" s="24"/>
      <c r="G45" s="116"/>
      <c r="H45" s="17"/>
      <c r="I45" s="17"/>
      <c r="J45" s="117"/>
      <c r="K45" s="17"/>
    </row>
    <row r="46" spans="1:11">
      <c r="A46" s="17">
        <v>41</v>
      </c>
      <c r="B46" s="17"/>
      <c r="C46" s="17"/>
      <c r="D46" s="17"/>
      <c r="E46" s="18"/>
      <c r="F46" s="24"/>
      <c r="G46" s="116"/>
      <c r="H46" s="17"/>
      <c r="I46" s="17"/>
      <c r="J46" s="117"/>
      <c r="K46" s="17"/>
    </row>
    <row r="47" spans="1:11">
      <c r="A47" s="17">
        <v>42</v>
      </c>
      <c r="B47" s="17"/>
      <c r="C47" s="17"/>
      <c r="D47" s="17"/>
      <c r="E47" s="18"/>
      <c r="F47" s="24"/>
      <c r="G47" s="116"/>
      <c r="H47" s="17"/>
      <c r="I47" s="17"/>
      <c r="J47" s="117"/>
      <c r="K47" s="17"/>
    </row>
    <row r="48" spans="1:11">
      <c r="A48" s="17">
        <v>43</v>
      </c>
      <c r="B48" s="17"/>
      <c r="C48" s="17"/>
      <c r="D48" s="17"/>
      <c r="E48" s="18"/>
      <c r="F48" s="24"/>
      <c r="G48" s="116"/>
      <c r="H48" s="17"/>
      <c r="I48" s="17"/>
      <c r="J48" s="117"/>
      <c r="K48" s="17"/>
    </row>
    <row r="49" spans="1:11">
      <c r="A49" s="17">
        <v>44</v>
      </c>
      <c r="B49" s="17"/>
      <c r="C49" s="17"/>
      <c r="D49" s="17"/>
      <c r="E49" s="18"/>
      <c r="F49" s="24"/>
      <c r="G49" s="116"/>
      <c r="H49" s="17"/>
      <c r="I49" s="17"/>
      <c r="J49" s="117"/>
      <c r="K49" s="17"/>
    </row>
    <row r="50" spans="1:11">
      <c r="A50" s="17">
        <v>45</v>
      </c>
      <c r="B50" s="17"/>
      <c r="C50" s="17"/>
      <c r="D50" s="17"/>
      <c r="E50" s="18"/>
      <c r="F50" s="24"/>
      <c r="G50" s="116"/>
      <c r="H50" s="17"/>
      <c r="I50" s="17"/>
      <c r="J50" s="117"/>
      <c r="K50" s="17"/>
    </row>
    <row r="51" spans="1:11">
      <c r="A51" s="17">
        <v>46</v>
      </c>
      <c r="B51" s="17"/>
      <c r="C51" s="17"/>
      <c r="D51" s="17"/>
      <c r="E51" s="18"/>
      <c r="F51" s="24"/>
      <c r="G51" s="116"/>
      <c r="H51" s="17"/>
      <c r="I51" s="17"/>
      <c r="J51" s="117"/>
      <c r="K51" s="17"/>
    </row>
    <row r="52" spans="1:11">
      <c r="A52" s="17">
        <v>47</v>
      </c>
      <c r="B52" s="17"/>
      <c r="C52" s="17"/>
      <c r="D52" s="17"/>
      <c r="E52" s="18"/>
      <c r="F52" s="24"/>
      <c r="G52" s="116"/>
      <c r="H52" s="17"/>
      <c r="I52" s="17"/>
      <c r="J52" s="117"/>
      <c r="K52" s="17"/>
    </row>
    <row r="53" spans="1:11">
      <c r="A53" s="17">
        <v>48</v>
      </c>
      <c r="B53" s="17"/>
      <c r="C53" s="17"/>
      <c r="D53" s="17"/>
      <c r="E53" s="18"/>
      <c r="F53" s="24"/>
      <c r="G53" s="116"/>
      <c r="H53" s="17"/>
      <c r="I53" s="17"/>
      <c r="J53" s="117"/>
      <c r="K53" s="17"/>
    </row>
    <row r="54" spans="1:11">
      <c r="A54" s="17">
        <v>49</v>
      </c>
      <c r="B54" s="17"/>
      <c r="C54" s="17"/>
      <c r="D54" s="17"/>
      <c r="E54" s="18"/>
      <c r="F54" s="24"/>
      <c r="G54" s="116"/>
      <c r="H54" s="17"/>
      <c r="I54" s="17"/>
      <c r="J54" s="117"/>
      <c r="K54" s="17"/>
    </row>
    <row r="55" spans="1:11">
      <c r="A55" s="17">
        <v>50</v>
      </c>
      <c r="B55" s="17"/>
      <c r="C55" s="17"/>
      <c r="D55" s="17"/>
      <c r="E55" s="18"/>
      <c r="F55" s="24"/>
      <c r="G55" s="116"/>
      <c r="H55" s="17"/>
      <c r="I55" s="17"/>
      <c r="J55" s="117"/>
      <c r="K55" s="17"/>
    </row>
    <row r="56" spans="1:11">
      <c r="A56" s="17">
        <v>51</v>
      </c>
      <c r="B56" s="17"/>
      <c r="C56" s="17"/>
      <c r="D56" s="17"/>
      <c r="E56" s="18"/>
      <c r="F56" s="24"/>
      <c r="G56" s="116"/>
      <c r="H56" s="17"/>
      <c r="I56" s="17"/>
      <c r="J56" s="117"/>
      <c r="K56" s="17"/>
    </row>
    <row r="57" spans="1:11">
      <c r="A57" s="17">
        <v>52</v>
      </c>
      <c r="B57" s="17"/>
      <c r="C57" s="17"/>
      <c r="D57" s="17"/>
      <c r="E57" s="18"/>
      <c r="F57" s="24"/>
      <c r="G57" s="116"/>
      <c r="H57" s="17"/>
      <c r="I57" s="17"/>
      <c r="J57" s="117"/>
      <c r="K57" s="17"/>
    </row>
    <row r="58" spans="1:11">
      <c r="A58" s="17">
        <v>53</v>
      </c>
      <c r="B58" s="17"/>
      <c r="C58" s="17"/>
      <c r="D58" s="17"/>
      <c r="E58" s="18"/>
      <c r="F58" s="24"/>
      <c r="G58" s="116"/>
      <c r="H58" s="17"/>
      <c r="I58" s="17"/>
      <c r="J58" s="117"/>
      <c r="K58" s="17"/>
    </row>
    <row r="59" spans="1:11">
      <c r="A59" s="17">
        <v>54</v>
      </c>
      <c r="B59" s="17"/>
      <c r="C59" s="17"/>
      <c r="D59" s="17"/>
      <c r="E59" s="18"/>
      <c r="F59" s="24"/>
      <c r="G59" s="116"/>
      <c r="H59" s="17"/>
      <c r="I59" s="17"/>
      <c r="J59" s="117"/>
      <c r="K59" s="17"/>
    </row>
    <row r="60" spans="1:11">
      <c r="A60" s="17">
        <v>55</v>
      </c>
      <c r="B60" s="17"/>
      <c r="C60" s="17"/>
      <c r="D60" s="17"/>
      <c r="E60" s="18"/>
      <c r="F60" s="24"/>
      <c r="G60" s="116"/>
      <c r="H60" s="17"/>
      <c r="I60" s="17"/>
      <c r="J60" s="117"/>
      <c r="K60" s="17"/>
    </row>
    <row r="61" spans="1:11">
      <c r="A61" s="17">
        <v>56</v>
      </c>
      <c r="B61" s="17"/>
      <c r="C61" s="17"/>
      <c r="D61" s="17"/>
      <c r="E61" s="18"/>
      <c r="F61" s="24"/>
      <c r="G61" s="116"/>
      <c r="H61" s="17"/>
      <c r="I61" s="17"/>
      <c r="J61" s="117"/>
      <c r="K61" s="17"/>
    </row>
    <row r="62" spans="1:11">
      <c r="A62" s="17">
        <v>57</v>
      </c>
      <c r="B62" s="17"/>
      <c r="C62" s="17"/>
      <c r="D62" s="17"/>
      <c r="E62" s="18"/>
      <c r="F62" s="24"/>
      <c r="G62" s="116"/>
      <c r="H62" s="17"/>
      <c r="I62" s="17"/>
      <c r="J62" s="117"/>
      <c r="K62" s="17"/>
    </row>
    <row r="63" spans="1:11">
      <c r="A63" s="17">
        <v>58</v>
      </c>
      <c r="B63" s="17"/>
      <c r="C63" s="17"/>
      <c r="D63" s="17"/>
      <c r="E63" s="18"/>
      <c r="F63" s="24"/>
      <c r="G63" s="116"/>
      <c r="H63" s="17"/>
      <c r="I63" s="17"/>
      <c r="J63" s="117"/>
      <c r="K63" s="17"/>
    </row>
    <row r="64" spans="1:11">
      <c r="A64" s="17">
        <v>59</v>
      </c>
      <c r="B64" s="17"/>
      <c r="C64" s="17"/>
      <c r="D64" s="17"/>
      <c r="E64" s="18"/>
      <c r="F64" s="24"/>
      <c r="G64" s="116"/>
      <c r="H64" s="17"/>
      <c r="I64" s="17"/>
      <c r="J64" s="117"/>
      <c r="K64" s="17"/>
    </row>
    <row r="65" spans="1:11">
      <c r="A65" s="17">
        <v>60</v>
      </c>
      <c r="B65" s="17"/>
      <c r="C65" s="17"/>
      <c r="D65" s="17"/>
      <c r="E65" s="18"/>
      <c r="F65" s="24"/>
      <c r="G65" s="116"/>
      <c r="H65" s="17"/>
      <c r="I65" s="17"/>
      <c r="J65" s="117"/>
      <c r="K65" s="17"/>
    </row>
    <row r="66" spans="1:11">
      <c r="A66" s="17">
        <v>61</v>
      </c>
      <c r="B66" s="17"/>
      <c r="C66" s="17"/>
      <c r="D66" s="17"/>
      <c r="E66" s="18"/>
      <c r="F66" s="24"/>
      <c r="G66" s="116"/>
      <c r="H66" s="17"/>
      <c r="I66" s="17"/>
      <c r="J66" s="117"/>
      <c r="K66" s="17"/>
    </row>
    <row r="67" spans="1:11">
      <c r="A67" s="17">
        <v>62</v>
      </c>
      <c r="B67" s="17"/>
      <c r="C67" s="17"/>
      <c r="D67" s="17"/>
      <c r="E67" s="18"/>
      <c r="F67" s="24"/>
      <c r="G67" s="116"/>
      <c r="H67" s="17"/>
      <c r="I67" s="17"/>
      <c r="J67" s="117"/>
      <c r="K67" s="17"/>
    </row>
    <row r="68" spans="1:11">
      <c r="A68" s="17">
        <v>63</v>
      </c>
      <c r="B68" s="17"/>
      <c r="C68" s="17"/>
      <c r="D68" s="17"/>
      <c r="E68" s="18"/>
      <c r="F68" s="24"/>
      <c r="G68" s="116"/>
      <c r="H68" s="17"/>
      <c r="I68" s="17"/>
      <c r="J68" s="117"/>
      <c r="K68" s="17"/>
    </row>
    <row r="69" spans="1:11">
      <c r="A69" s="17">
        <v>64</v>
      </c>
      <c r="B69" s="17"/>
      <c r="C69" s="17"/>
      <c r="D69" s="17"/>
      <c r="E69" s="18"/>
      <c r="F69" s="24"/>
      <c r="G69" s="116"/>
      <c r="H69" s="17"/>
      <c r="I69" s="17"/>
      <c r="J69" s="117"/>
      <c r="K69" s="17"/>
    </row>
    <row r="70" spans="1:11">
      <c r="A70" s="17">
        <v>65</v>
      </c>
      <c r="B70" s="17"/>
      <c r="C70" s="17"/>
      <c r="D70" s="17"/>
      <c r="E70" s="18"/>
      <c r="F70" s="24"/>
      <c r="G70" s="116"/>
      <c r="H70" s="17"/>
      <c r="I70" s="17"/>
      <c r="J70" s="117"/>
      <c r="K70" s="17"/>
    </row>
    <row r="71" spans="1:11">
      <c r="A71" s="17">
        <v>66</v>
      </c>
      <c r="B71" s="17"/>
      <c r="C71" s="17"/>
      <c r="D71" s="17"/>
      <c r="E71" s="18"/>
      <c r="F71" s="24"/>
      <c r="G71" s="116"/>
      <c r="H71" s="17"/>
      <c r="I71" s="17"/>
      <c r="J71" s="117"/>
      <c r="K71" s="17"/>
    </row>
    <row r="72" spans="1:11">
      <c r="A72" s="17">
        <v>67</v>
      </c>
      <c r="B72" s="17"/>
      <c r="C72" s="17"/>
      <c r="D72" s="17"/>
      <c r="E72" s="18"/>
      <c r="F72" s="24"/>
      <c r="G72" s="116"/>
      <c r="H72" s="17"/>
      <c r="I72" s="17"/>
      <c r="J72" s="117"/>
      <c r="K72" s="17"/>
    </row>
    <row r="73" spans="1:11">
      <c r="A73" s="17">
        <v>68</v>
      </c>
      <c r="B73" s="17"/>
      <c r="C73" s="17"/>
      <c r="D73" s="17"/>
      <c r="E73" s="18"/>
      <c r="F73" s="24"/>
      <c r="G73" s="116"/>
      <c r="H73" s="17"/>
      <c r="I73" s="17"/>
      <c r="J73" s="117"/>
      <c r="K73" s="17"/>
    </row>
    <row r="74" spans="1:11">
      <c r="A74" s="17">
        <v>69</v>
      </c>
      <c r="B74" s="17"/>
      <c r="C74" s="17"/>
      <c r="D74" s="17"/>
      <c r="E74" s="18"/>
      <c r="F74" s="24"/>
      <c r="G74" s="116"/>
      <c r="H74" s="17"/>
      <c r="I74" s="17"/>
      <c r="J74" s="117"/>
      <c r="K74" s="17"/>
    </row>
    <row r="75" spans="1:11">
      <c r="A75" s="17">
        <v>70</v>
      </c>
      <c r="B75" s="17"/>
      <c r="C75" s="17"/>
      <c r="D75" s="17"/>
      <c r="E75" s="18"/>
      <c r="F75" s="24"/>
      <c r="G75" s="116"/>
      <c r="H75" s="17"/>
      <c r="I75" s="17"/>
      <c r="J75" s="117"/>
      <c r="K75" s="17"/>
    </row>
    <row r="76" spans="1:11">
      <c r="A76" s="17">
        <v>71</v>
      </c>
      <c r="B76" s="17"/>
      <c r="C76" s="17"/>
      <c r="D76" s="17"/>
      <c r="E76" s="18"/>
      <c r="F76" s="24"/>
      <c r="G76" s="116"/>
      <c r="H76" s="17"/>
      <c r="I76" s="17"/>
      <c r="J76" s="117"/>
      <c r="K76" s="17"/>
    </row>
    <row r="77" spans="1:11">
      <c r="A77" s="17">
        <v>72</v>
      </c>
      <c r="B77" s="17"/>
      <c r="C77" s="17"/>
      <c r="D77" s="17"/>
      <c r="E77" s="18"/>
      <c r="F77" s="24"/>
      <c r="G77" s="116"/>
      <c r="H77" s="17"/>
      <c r="I77" s="17"/>
      <c r="J77" s="117"/>
      <c r="K77" s="17"/>
    </row>
    <row r="78" spans="1:11">
      <c r="A78" s="17">
        <v>73</v>
      </c>
      <c r="B78" s="17"/>
      <c r="C78" s="17"/>
      <c r="D78" s="17"/>
      <c r="E78" s="18"/>
      <c r="F78" s="24"/>
      <c r="G78" s="116"/>
      <c r="H78" s="17"/>
      <c r="I78" s="17"/>
      <c r="J78" s="117"/>
      <c r="K78" s="17"/>
    </row>
    <row r="79" spans="1:11">
      <c r="A79" s="17">
        <v>74</v>
      </c>
      <c r="B79" s="17"/>
      <c r="C79" s="17"/>
      <c r="D79" s="17"/>
      <c r="E79" s="18"/>
      <c r="F79" s="24"/>
      <c r="G79" s="116"/>
      <c r="H79" s="17"/>
      <c r="I79" s="17"/>
      <c r="J79" s="117"/>
      <c r="K79" s="17"/>
    </row>
    <row r="80" spans="1:11">
      <c r="A80" s="17">
        <v>75</v>
      </c>
      <c r="B80" s="17"/>
      <c r="C80" s="17"/>
      <c r="D80" s="17"/>
      <c r="E80" s="18"/>
      <c r="F80" s="24"/>
      <c r="G80" s="116"/>
      <c r="H80" s="17"/>
      <c r="I80" s="17"/>
      <c r="J80" s="117"/>
      <c r="K80" s="17"/>
    </row>
    <row r="81" spans="1:11">
      <c r="A81" s="17">
        <v>76</v>
      </c>
      <c r="B81" s="17"/>
      <c r="C81" s="17"/>
      <c r="D81" s="17"/>
      <c r="E81" s="18"/>
      <c r="F81" s="24"/>
      <c r="G81" s="116"/>
      <c r="H81" s="17"/>
      <c r="I81" s="17"/>
      <c r="J81" s="117"/>
      <c r="K81" s="17"/>
    </row>
    <row r="82" spans="1:11">
      <c r="A82" s="17">
        <v>77</v>
      </c>
      <c r="B82" s="17"/>
      <c r="C82" s="17"/>
      <c r="D82" s="17"/>
      <c r="E82" s="18"/>
      <c r="F82" s="24"/>
      <c r="G82" s="116"/>
      <c r="H82" s="17"/>
      <c r="I82" s="17"/>
      <c r="J82" s="117"/>
      <c r="K82" s="17"/>
    </row>
    <row r="83" spans="1:11">
      <c r="A83" s="17">
        <v>78</v>
      </c>
      <c r="B83" s="17"/>
      <c r="C83" s="17"/>
      <c r="D83" s="17"/>
      <c r="E83" s="18"/>
      <c r="F83" s="24"/>
      <c r="G83" s="116"/>
      <c r="H83" s="17"/>
      <c r="I83" s="17"/>
      <c r="J83" s="117"/>
      <c r="K83" s="17"/>
    </row>
    <row r="84" spans="1:11">
      <c r="A84" s="17">
        <v>79</v>
      </c>
      <c r="B84" s="17"/>
      <c r="C84" s="17"/>
      <c r="D84" s="17"/>
      <c r="E84" s="18"/>
      <c r="F84" s="24"/>
      <c r="G84" s="116"/>
      <c r="H84" s="17"/>
      <c r="I84" s="17"/>
      <c r="J84" s="117"/>
      <c r="K84" s="17"/>
    </row>
    <row r="85" spans="1:11">
      <c r="A85" s="17">
        <v>80</v>
      </c>
      <c r="B85" s="17"/>
      <c r="C85" s="17"/>
      <c r="D85" s="17"/>
      <c r="E85" s="18"/>
      <c r="F85" s="24"/>
      <c r="G85" s="116"/>
      <c r="H85" s="17"/>
      <c r="I85" s="17"/>
      <c r="J85" s="117"/>
      <c r="K85" s="17"/>
    </row>
    <row r="86" spans="1:11">
      <c r="A86" s="17">
        <v>81</v>
      </c>
      <c r="B86" s="17"/>
      <c r="C86" s="17"/>
      <c r="D86" s="17"/>
      <c r="E86" s="18"/>
      <c r="F86" s="24"/>
      <c r="G86" s="116"/>
      <c r="H86" s="17"/>
      <c r="I86" s="17"/>
      <c r="J86" s="117"/>
      <c r="K86" s="17"/>
    </row>
    <row r="87" spans="1:11">
      <c r="A87" s="17">
        <v>82</v>
      </c>
      <c r="B87" s="17"/>
      <c r="C87" s="17"/>
      <c r="D87" s="17"/>
      <c r="E87" s="18"/>
      <c r="F87" s="24"/>
      <c r="G87" s="116"/>
      <c r="H87" s="17"/>
      <c r="I87" s="17"/>
      <c r="J87" s="117"/>
      <c r="K87" s="17"/>
    </row>
    <row r="88" spans="1:11">
      <c r="A88" s="17">
        <v>83</v>
      </c>
      <c r="B88" s="17"/>
      <c r="C88" s="17"/>
      <c r="D88" s="17"/>
      <c r="E88" s="18"/>
      <c r="F88" s="24"/>
      <c r="G88" s="116"/>
      <c r="H88" s="17"/>
      <c r="I88" s="17"/>
      <c r="J88" s="117"/>
      <c r="K88" s="17"/>
    </row>
    <row r="89" spans="1:11">
      <c r="A89" s="17">
        <v>84</v>
      </c>
      <c r="B89" s="17"/>
      <c r="C89" s="17"/>
      <c r="D89" s="17"/>
      <c r="E89" s="18"/>
      <c r="F89" s="24"/>
      <c r="G89" s="116"/>
      <c r="H89" s="17"/>
      <c r="I89" s="17"/>
      <c r="J89" s="117"/>
      <c r="K89" s="17"/>
    </row>
    <row r="90" spans="1:11">
      <c r="A90" s="17">
        <v>85</v>
      </c>
      <c r="B90" s="17"/>
      <c r="C90" s="17"/>
      <c r="D90" s="17"/>
      <c r="E90" s="18"/>
      <c r="F90" s="24"/>
      <c r="G90" s="116"/>
      <c r="H90" s="17"/>
      <c r="I90" s="17"/>
      <c r="J90" s="117"/>
      <c r="K90" s="17"/>
    </row>
    <row r="91" spans="1:11">
      <c r="A91" s="17">
        <v>86</v>
      </c>
      <c r="B91" s="17"/>
      <c r="C91" s="17"/>
      <c r="D91" s="17"/>
      <c r="E91" s="18"/>
      <c r="F91" s="24"/>
      <c r="G91" s="116"/>
      <c r="H91" s="17"/>
      <c r="I91" s="17"/>
      <c r="J91" s="117"/>
      <c r="K91" s="17"/>
    </row>
    <row r="92" spans="1:11">
      <c r="A92" s="17">
        <v>87</v>
      </c>
      <c r="B92" s="17"/>
      <c r="C92" s="17"/>
      <c r="D92" s="17"/>
      <c r="E92" s="18"/>
      <c r="F92" s="24"/>
      <c r="G92" s="116"/>
      <c r="H92" s="17"/>
      <c r="I92" s="17"/>
      <c r="J92" s="117"/>
      <c r="K92" s="17"/>
    </row>
    <row r="93" spans="1:11">
      <c r="A93" s="17">
        <v>88</v>
      </c>
      <c r="B93" s="17"/>
      <c r="C93" s="17"/>
      <c r="D93" s="17"/>
      <c r="E93" s="18"/>
      <c r="F93" s="24"/>
      <c r="G93" s="116"/>
      <c r="H93" s="17"/>
      <c r="I93" s="17"/>
      <c r="J93" s="117"/>
      <c r="K93" s="17"/>
    </row>
    <row r="94" spans="1:11">
      <c r="A94" s="17">
        <v>89</v>
      </c>
      <c r="B94" s="17"/>
      <c r="C94" s="17"/>
      <c r="D94" s="17"/>
      <c r="E94" s="18"/>
      <c r="F94" s="24"/>
      <c r="G94" s="116"/>
      <c r="H94" s="17"/>
      <c r="I94" s="17"/>
      <c r="J94" s="117"/>
      <c r="K94" s="17"/>
    </row>
    <row r="95" spans="1:11">
      <c r="A95" s="17">
        <v>90</v>
      </c>
      <c r="B95" s="17"/>
      <c r="C95" s="17"/>
      <c r="D95" s="17"/>
      <c r="E95" s="18"/>
      <c r="F95" s="24"/>
      <c r="G95" s="116"/>
      <c r="H95" s="17"/>
      <c r="I95" s="17"/>
      <c r="J95" s="117"/>
      <c r="K95" s="17"/>
    </row>
    <row r="96" spans="1:11">
      <c r="A96" s="17">
        <v>91</v>
      </c>
      <c r="B96" s="17"/>
      <c r="C96" s="17"/>
      <c r="D96" s="17"/>
      <c r="E96" s="18"/>
      <c r="F96" s="24"/>
      <c r="G96" s="116"/>
      <c r="H96" s="17"/>
      <c r="I96" s="17"/>
      <c r="J96" s="117"/>
      <c r="K96" s="17"/>
    </row>
    <row r="97" spans="1:11">
      <c r="A97" s="17">
        <v>92</v>
      </c>
      <c r="B97" s="17"/>
      <c r="C97" s="17"/>
      <c r="D97" s="17"/>
      <c r="E97" s="18"/>
      <c r="F97" s="24"/>
      <c r="G97" s="116"/>
      <c r="H97" s="17"/>
      <c r="I97" s="17"/>
      <c r="J97" s="117"/>
      <c r="K97" s="17"/>
    </row>
    <row r="98" spans="1:11">
      <c r="A98" s="17">
        <v>93</v>
      </c>
      <c r="B98" s="17"/>
      <c r="C98" s="17"/>
      <c r="D98" s="17"/>
      <c r="E98" s="18"/>
      <c r="F98" s="24"/>
      <c r="G98" s="116"/>
      <c r="H98" s="17"/>
      <c r="I98" s="17"/>
      <c r="J98" s="117"/>
      <c r="K98" s="17"/>
    </row>
    <row r="99" spans="1:11">
      <c r="A99" s="17">
        <v>94</v>
      </c>
      <c r="B99" s="17"/>
      <c r="C99" s="17"/>
      <c r="D99" s="17"/>
      <c r="E99" s="18"/>
      <c r="F99" s="24"/>
      <c r="G99" s="116"/>
      <c r="H99" s="17"/>
      <c r="I99" s="17"/>
      <c r="J99" s="117"/>
      <c r="K99" s="17"/>
    </row>
    <row r="100" spans="1:11">
      <c r="A100" s="66"/>
      <c r="B100" s="66"/>
      <c r="C100" s="66"/>
      <c r="D100" s="66"/>
      <c r="E100" s="67"/>
      <c r="F100" s="71">
        <f>SUM(F7:F99)</f>
        <v>0</v>
      </c>
      <c r="G100" s="189">
        <f>SUM(G7:G99)</f>
        <v>0</v>
      </c>
      <c r="H100" s="66"/>
      <c r="I100" s="66"/>
      <c r="J100" s="190"/>
      <c r="K100" s="66"/>
    </row>
    <row r="101" spans="1:11">
      <c r="J101" s="115"/>
    </row>
    <row r="102" spans="1:11">
      <c r="J102" s="115"/>
    </row>
    <row r="103" spans="1:11">
      <c r="J103" s="115"/>
    </row>
    <row r="104" spans="1:11">
      <c r="J104" s="115"/>
    </row>
    <row r="105" spans="1:11">
      <c r="J105" s="115"/>
    </row>
    <row r="106" spans="1:11">
      <c r="J106" s="115"/>
    </row>
    <row r="107" spans="1:11">
      <c r="J107" s="115"/>
    </row>
    <row r="108" spans="1:11">
      <c r="J108" s="115"/>
    </row>
    <row r="109" spans="1:11">
      <c r="J109" s="115"/>
    </row>
    <row r="110" spans="1:11">
      <c r="J110" s="115"/>
    </row>
    <row r="111" spans="1:11">
      <c r="J111" s="115"/>
    </row>
    <row r="112" spans="1:11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2">
    <mergeCell ref="A1:K1"/>
    <mergeCell ref="B2:C2"/>
  </mergeCells>
  <hyperlinks>
    <hyperlink ref="K2" location="الاليات!A1" display="الاليات " xr:uid="{00000000-0004-0000-15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3" width="14.109375" style="1" bestFit="1" customWidth="1"/>
    <col min="4" max="4" width="12.77734375" style="1" bestFit="1" customWidth="1"/>
    <col min="5" max="5" width="18.4414062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20</v>
      </c>
      <c r="B2" s="202" t="s">
        <v>840</v>
      </c>
      <c r="C2" s="203"/>
      <c r="D2" s="85"/>
      <c r="E2" s="86" t="s">
        <v>8</v>
      </c>
      <c r="F2" s="87">
        <v>2009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856</v>
      </c>
      <c r="D3" s="89"/>
      <c r="E3" s="86" t="s">
        <v>68</v>
      </c>
      <c r="F3" s="91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 t="s">
        <v>95</v>
      </c>
      <c r="F5" s="93"/>
      <c r="G5" s="92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24</v>
      </c>
      <c r="B7" s="98" t="s">
        <v>75</v>
      </c>
      <c r="C7" s="98">
        <v>4266</v>
      </c>
      <c r="D7" s="135">
        <v>45047</v>
      </c>
      <c r="E7" s="99" t="s">
        <v>115</v>
      </c>
      <c r="F7" s="100">
        <v>265000</v>
      </c>
      <c r="G7" s="101"/>
      <c r="H7" s="98"/>
      <c r="I7" s="98"/>
      <c r="J7" s="102"/>
      <c r="K7" s="17"/>
    </row>
    <row r="8" spans="1:11">
      <c r="A8" s="98">
        <v>25</v>
      </c>
      <c r="B8" s="98"/>
      <c r="C8" s="98">
        <v>5166</v>
      </c>
      <c r="D8" s="135">
        <v>44992</v>
      </c>
      <c r="E8" s="99" t="s">
        <v>323</v>
      </c>
      <c r="F8" s="100">
        <v>80000</v>
      </c>
      <c r="G8" s="101"/>
      <c r="H8" s="98" t="s">
        <v>75</v>
      </c>
      <c r="I8" s="98"/>
      <c r="J8" s="102"/>
      <c r="K8" s="17"/>
    </row>
    <row r="9" spans="1:11">
      <c r="A9" s="98">
        <v>26</v>
      </c>
      <c r="B9" s="98"/>
      <c r="C9" s="98">
        <v>5166</v>
      </c>
      <c r="D9" s="135">
        <v>44992</v>
      </c>
      <c r="E9" s="99" t="s">
        <v>324</v>
      </c>
      <c r="F9" s="100">
        <v>190000</v>
      </c>
      <c r="G9" s="101"/>
      <c r="H9" s="98" t="s">
        <v>75</v>
      </c>
      <c r="I9" s="98"/>
      <c r="J9" s="102"/>
      <c r="K9" s="17"/>
    </row>
    <row r="10" spans="1:11">
      <c r="A10" s="98">
        <v>27</v>
      </c>
      <c r="B10" s="98"/>
      <c r="C10" s="99" t="s">
        <v>325</v>
      </c>
      <c r="D10" s="136">
        <v>45023</v>
      </c>
      <c r="E10" s="99" t="s">
        <v>135</v>
      </c>
      <c r="F10" s="137">
        <v>75000</v>
      </c>
      <c r="G10" s="101"/>
      <c r="H10" s="98"/>
      <c r="I10" s="98"/>
      <c r="J10" s="102"/>
      <c r="K10" s="17"/>
    </row>
    <row r="11" spans="1:11">
      <c r="A11" s="98">
        <v>28</v>
      </c>
      <c r="B11" s="98"/>
      <c r="C11" s="98">
        <v>6317</v>
      </c>
      <c r="D11" s="98" t="s">
        <v>430</v>
      </c>
      <c r="E11" s="99" t="s">
        <v>135</v>
      </c>
      <c r="F11" s="100">
        <v>340000</v>
      </c>
      <c r="G11" s="101"/>
      <c r="H11" s="98" t="s">
        <v>75</v>
      </c>
      <c r="I11" s="98"/>
      <c r="J11" s="102"/>
      <c r="K11" s="17"/>
    </row>
    <row r="12" spans="1:11" ht="52.2">
      <c r="A12" s="98">
        <v>29</v>
      </c>
      <c r="B12" s="98"/>
      <c r="C12" s="98">
        <v>6381</v>
      </c>
      <c r="D12" s="135" t="s">
        <v>501</v>
      </c>
      <c r="E12" s="99" t="s">
        <v>506</v>
      </c>
      <c r="F12" s="100">
        <v>1578000</v>
      </c>
      <c r="G12" s="101"/>
      <c r="H12" s="98" t="s">
        <v>75</v>
      </c>
      <c r="I12" s="98"/>
      <c r="J12" s="102"/>
      <c r="K12" s="17"/>
    </row>
    <row r="13" spans="1:11" ht="34.799999999999997">
      <c r="A13" s="98">
        <v>30</v>
      </c>
      <c r="B13" s="98"/>
      <c r="C13" s="98">
        <v>6861</v>
      </c>
      <c r="D13" s="135">
        <v>45451</v>
      </c>
      <c r="E13" s="99" t="s">
        <v>556</v>
      </c>
      <c r="F13" s="100">
        <v>215000</v>
      </c>
      <c r="G13" s="101"/>
      <c r="H13" s="98" t="s">
        <v>75</v>
      </c>
      <c r="I13" s="98"/>
      <c r="J13" s="102"/>
      <c r="K13" s="17"/>
    </row>
    <row r="14" spans="1:11" ht="52.2">
      <c r="A14" s="98">
        <v>31</v>
      </c>
      <c r="B14" s="98"/>
      <c r="C14" s="98">
        <v>7071</v>
      </c>
      <c r="D14" s="135">
        <v>45560</v>
      </c>
      <c r="E14" s="99" t="s">
        <v>581</v>
      </c>
      <c r="F14" s="100">
        <v>175000</v>
      </c>
      <c r="G14" s="101"/>
      <c r="H14" s="98" t="s">
        <v>75</v>
      </c>
      <c r="I14" s="98"/>
      <c r="J14" s="102"/>
      <c r="K14" s="17"/>
    </row>
    <row r="15" spans="1:11" ht="52.2">
      <c r="A15" s="98">
        <v>32</v>
      </c>
      <c r="B15" s="98"/>
      <c r="C15" s="98">
        <v>9450</v>
      </c>
      <c r="D15" s="135">
        <v>45876</v>
      </c>
      <c r="E15" s="99" t="s">
        <v>993</v>
      </c>
      <c r="F15" s="100">
        <v>148000</v>
      </c>
      <c r="G15" s="101"/>
      <c r="H15" s="98" t="s">
        <v>105</v>
      </c>
      <c r="I15" s="98"/>
      <c r="J15" s="102"/>
      <c r="K15" s="17"/>
    </row>
    <row r="16" spans="1:11">
      <c r="A16" s="98">
        <v>33</v>
      </c>
      <c r="B16" s="98"/>
      <c r="C16" s="17">
        <v>9638</v>
      </c>
      <c r="D16" s="130">
        <v>45900</v>
      </c>
      <c r="E16" s="18" t="s">
        <v>259</v>
      </c>
      <c r="F16" s="132">
        <v>230000</v>
      </c>
      <c r="G16" s="116"/>
      <c r="H16" s="17" t="s">
        <v>75</v>
      </c>
      <c r="I16" s="98"/>
      <c r="J16" s="102"/>
      <c r="K16" s="17"/>
    </row>
    <row r="17" spans="1:11" ht="17.25" customHeight="1">
      <c r="A17" s="98">
        <v>34</v>
      </c>
      <c r="B17" s="98"/>
      <c r="C17" s="98">
        <v>615</v>
      </c>
      <c r="D17" s="135">
        <v>46018</v>
      </c>
      <c r="E17" s="99" t="s">
        <v>1136</v>
      </c>
      <c r="F17" s="100">
        <v>295000</v>
      </c>
      <c r="G17" s="101"/>
      <c r="H17" s="98" t="s">
        <v>75</v>
      </c>
      <c r="I17" s="98"/>
      <c r="J17" s="102"/>
      <c r="K17" s="17"/>
    </row>
    <row r="18" spans="1:11">
      <c r="A18" s="98">
        <v>35</v>
      </c>
      <c r="B18" s="98"/>
      <c r="C18" s="98"/>
      <c r="D18" s="135"/>
      <c r="E18" s="99"/>
      <c r="F18" s="100"/>
      <c r="G18" s="101"/>
      <c r="H18" s="98"/>
      <c r="I18" s="98"/>
      <c r="J18" s="102"/>
      <c r="K18" s="17"/>
    </row>
    <row r="19" spans="1:11">
      <c r="A19" s="98">
        <v>36</v>
      </c>
      <c r="B19" s="98"/>
      <c r="C19" s="98"/>
      <c r="D19" s="135"/>
      <c r="E19" s="99"/>
      <c r="F19" s="100"/>
      <c r="G19" s="101"/>
      <c r="H19" s="98"/>
      <c r="I19" s="98"/>
      <c r="J19" s="102"/>
      <c r="K19" s="17"/>
    </row>
    <row r="20" spans="1:11">
      <c r="A20" s="98">
        <v>37</v>
      </c>
      <c r="B20" s="98"/>
      <c r="C20" s="98"/>
      <c r="D20" s="135"/>
      <c r="E20" s="99"/>
      <c r="F20" s="100"/>
      <c r="G20" s="101"/>
      <c r="H20" s="98"/>
      <c r="I20" s="98"/>
      <c r="J20" s="102"/>
      <c r="K20" s="17"/>
    </row>
    <row r="21" spans="1:11">
      <c r="A21" s="98">
        <v>38</v>
      </c>
      <c r="B21" s="98"/>
      <c r="C21" s="98"/>
      <c r="D21" s="135"/>
      <c r="E21" s="99"/>
      <c r="F21" s="100"/>
      <c r="G21" s="101"/>
      <c r="H21" s="98"/>
      <c r="I21" s="98"/>
      <c r="J21" s="102"/>
      <c r="K21" s="17"/>
    </row>
    <row r="22" spans="1:11">
      <c r="A22" s="98">
        <v>39</v>
      </c>
      <c r="B22" s="98"/>
      <c r="C22" s="98"/>
      <c r="D22" s="135"/>
      <c r="E22" s="99"/>
      <c r="F22" s="100"/>
      <c r="G22" s="101"/>
      <c r="H22" s="98"/>
      <c r="I22" s="98"/>
      <c r="J22" s="102"/>
      <c r="K22" s="17"/>
    </row>
    <row r="23" spans="1:11">
      <c r="A23" s="98">
        <v>40</v>
      </c>
      <c r="B23" s="98"/>
      <c r="C23" s="98"/>
      <c r="D23" s="135"/>
      <c r="E23" s="99"/>
      <c r="F23" s="100"/>
      <c r="G23" s="101"/>
      <c r="H23" s="98"/>
      <c r="I23" s="98"/>
      <c r="J23" s="102"/>
      <c r="K23" s="17"/>
    </row>
    <row r="24" spans="1:11">
      <c r="A24" s="98">
        <v>41</v>
      </c>
      <c r="B24" s="98"/>
      <c r="C24" s="98"/>
      <c r="D24" s="135"/>
      <c r="E24" s="99"/>
      <c r="F24" s="100"/>
      <c r="G24" s="101"/>
      <c r="H24" s="98"/>
      <c r="I24" s="98"/>
      <c r="J24" s="102"/>
      <c r="K24" s="17"/>
    </row>
    <row r="25" spans="1:11">
      <c r="A25" s="98">
        <v>42</v>
      </c>
      <c r="B25" s="98"/>
      <c r="C25" s="98"/>
      <c r="D25" s="135"/>
      <c r="E25" s="99"/>
      <c r="F25" s="100"/>
      <c r="G25" s="101"/>
      <c r="H25" s="98"/>
      <c r="I25" s="98"/>
      <c r="J25" s="102"/>
      <c r="K25" s="17"/>
    </row>
    <row r="26" spans="1:11">
      <c r="A26" s="98">
        <v>43</v>
      </c>
      <c r="B26" s="98"/>
      <c r="C26" s="98"/>
      <c r="D26" s="135"/>
      <c r="E26" s="99"/>
      <c r="F26" s="100"/>
      <c r="G26" s="101"/>
      <c r="H26" s="98"/>
      <c r="I26" s="98"/>
      <c r="J26" s="102"/>
      <c r="K26" s="17"/>
    </row>
    <row r="27" spans="1:11">
      <c r="A27" s="98">
        <v>44</v>
      </c>
      <c r="B27" s="98"/>
      <c r="C27" s="98"/>
      <c r="D27" s="135"/>
      <c r="E27" s="99"/>
      <c r="F27" s="100"/>
      <c r="G27" s="101"/>
      <c r="H27" s="98"/>
      <c r="I27" s="98"/>
      <c r="J27" s="102"/>
      <c r="K27" s="17"/>
    </row>
    <row r="28" spans="1:11">
      <c r="A28" s="98">
        <v>45</v>
      </c>
      <c r="B28" s="98"/>
      <c r="C28" s="98"/>
      <c r="D28" s="135"/>
      <c r="E28" s="99"/>
      <c r="F28" s="100"/>
      <c r="G28" s="101"/>
      <c r="H28" s="98"/>
      <c r="I28" s="98"/>
      <c r="J28" s="102"/>
      <c r="K28" s="17"/>
    </row>
    <row r="29" spans="1:11">
      <c r="A29" s="98">
        <v>46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47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48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49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50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51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52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53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54</v>
      </c>
      <c r="B37" s="98"/>
      <c r="C37" s="98"/>
      <c r="D37" s="98"/>
      <c r="E37" s="99"/>
      <c r="F37" s="100"/>
      <c r="G37" s="101"/>
      <c r="H37" s="98"/>
      <c r="I37" s="98"/>
      <c r="J37" s="102"/>
      <c r="K37" s="17"/>
    </row>
    <row r="38" spans="1:11">
      <c r="A38" s="98">
        <v>55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103"/>
      <c r="B39" s="206" t="s">
        <v>98</v>
      </c>
      <c r="C39" s="206"/>
      <c r="D39" s="103"/>
      <c r="E39" s="104"/>
      <c r="F39" s="105">
        <f>SUM(F7:F38)</f>
        <v>3591000</v>
      </c>
      <c r="G39" s="106">
        <f>SUM(G7:G38)</f>
        <v>0</v>
      </c>
      <c r="H39" s="103"/>
      <c r="I39" s="103"/>
      <c r="J39" s="107"/>
      <c r="K39" s="108"/>
    </row>
    <row r="40" spans="1:11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9:C39"/>
  </mergeCells>
  <hyperlinks>
    <hyperlink ref="K2" location="الاليات!A1" display="الاليات " xr:uid="{00000000-0004-0000-1600-000000000000}"/>
  </hyperlinks>
  <pageMargins left="0.7" right="0.7" top="0.75" bottom="0.75" header="0.3" footer="0.3"/>
  <pageSetup paperSize="9" scale="57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4" width="12.77734375" style="1" bestFit="1" customWidth="1"/>
    <col min="5" max="5" width="19.218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21</v>
      </c>
      <c r="B2" s="202" t="s">
        <v>61</v>
      </c>
      <c r="C2" s="203"/>
      <c r="D2" s="85"/>
      <c r="E2" s="86" t="s">
        <v>8</v>
      </c>
      <c r="F2" s="87">
        <v>2019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857</v>
      </c>
      <c r="D3" s="89"/>
      <c r="E3" s="86" t="s">
        <v>68</v>
      </c>
      <c r="F3" s="87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 t="s">
        <v>95</v>
      </c>
      <c r="F5" s="93"/>
      <c r="G5" s="92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1</v>
      </c>
      <c r="B7" s="98"/>
      <c r="C7" s="98" t="s">
        <v>416</v>
      </c>
      <c r="D7" s="135">
        <v>45414</v>
      </c>
      <c r="E7" s="99" t="s">
        <v>135</v>
      </c>
      <c r="F7" s="100">
        <v>726000</v>
      </c>
      <c r="G7" s="101"/>
      <c r="H7" s="98"/>
      <c r="I7" s="98"/>
      <c r="J7" s="102"/>
      <c r="K7" s="17"/>
    </row>
    <row r="8" spans="1:11">
      <c r="A8" s="98">
        <v>2</v>
      </c>
      <c r="B8" s="98"/>
      <c r="C8" s="98">
        <v>6263</v>
      </c>
      <c r="D8" s="135">
        <v>45325</v>
      </c>
      <c r="E8" s="99" t="s">
        <v>425</v>
      </c>
      <c r="F8" s="100">
        <v>80000</v>
      </c>
      <c r="G8" s="101"/>
      <c r="H8" s="98" t="s">
        <v>75</v>
      </c>
      <c r="I8" s="98"/>
      <c r="J8" s="102"/>
      <c r="K8" s="17"/>
    </row>
    <row r="9" spans="1:11">
      <c r="A9" s="98">
        <v>3</v>
      </c>
      <c r="B9" s="98"/>
      <c r="C9" s="98">
        <v>6317</v>
      </c>
      <c r="D9" s="98" t="s">
        <v>430</v>
      </c>
      <c r="E9" s="99" t="s">
        <v>135</v>
      </c>
      <c r="F9" s="100">
        <v>507000</v>
      </c>
      <c r="G9" s="101"/>
      <c r="H9" s="98" t="s">
        <v>75</v>
      </c>
      <c r="I9" s="98"/>
      <c r="J9" s="102"/>
      <c r="K9" s="17"/>
    </row>
    <row r="10" spans="1:11" ht="87">
      <c r="A10" s="98">
        <v>4</v>
      </c>
      <c r="B10" s="98"/>
      <c r="C10" s="98">
        <v>6381</v>
      </c>
      <c r="D10" s="98" t="s">
        <v>501</v>
      </c>
      <c r="E10" s="99" t="s">
        <v>503</v>
      </c>
      <c r="F10" s="100">
        <v>1010000</v>
      </c>
      <c r="G10" s="101"/>
      <c r="H10" s="98" t="s">
        <v>75</v>
      </c>
      <c r="I10" s="98"/>
      <c r="J10" s="102"/>
      <c r="K10" s="17"/>
    </row>
    <row r="11" spans="1:11">
      <c r="A11" s="98">
        <v>5</v>
      </c>
      <c r="B11" s="98"/>
      <c r="C11" s="98">
        <v>6705</v>
      </c>
      <c r="D11" s="135">
        <v>45329</v>
      </c>
      <c r="E11" s="99" t="s">
        <v>562</v>
      </c>
      <c r="F11" s="100">
        <v>505000</v>
      </c>
      <c r="G11" s="101"/>
      <c r="H11" s="98" t="s">
        <v>142</v>
      </c>
      <c r="I11" s="98"/>
      <c r="J11" s="102"/>
      <c r="K11" s="17"/>
    </row>
    <row r="12" spans="1:11">
      <c r="A12" s="98">
        <v>6</v>
      </c>
      <c r="B12" s="98"/>
      <c r="C12" s="98"/>
      <c r="D12" s="135">
        <v>45580</v>
      </c>
      <c r="E12" s="99" t="s">
        <v>594</v>
      </c>
      <c r="F12" s="100">
        <v>86000</v>
      </c>
      <c r="G12" s="101"/>
      <c r="H12" s="98" t="s">
        <v>75</v>
      </c>
      <c r="I12" s="98"/>
      <c r="J12" s="102"/>
      <c r="K12" s="17"/>
    </row>
    <row r="13" spans="1:11">
      <c r="A13" s="98">
        <v>7</v>
      </c>
      <c r="B13" s="98"/>
      <c r="C13" s="98">
        <v>7272</v>
      </c>
      <c r="D13" s="135">
        <v>45599</v>
      </c>
      <c r="E13" s="99" t="s">
        <v>144</v>
      </c>
      <c r="F13" s="100">
        <v>45000</v>
      </c>
      <c r="G13" s="101"/>
      <c r="H13" s="98" t="s">
        <v>75</v>
      </c>
      <c r="I13" s="98"/>
      <c r="J13" s="102"/>
      <c r="K13" s="17"/>
    </row>
    <row r="14" spans="1:11">
      <c r="A14" s="98">
        <v>8</v>
      </c>
      <c r="B14" s="98"/>
      <c r="C14" s="17">
        <v>7348</v>
      </c>
      <c r="D14" s="130">
        <v>45619</v>
      </c>
      <c r="E14" s="131" t="s">
        <v>618</v>
      </c>
      <c r="F14" s="132">
        <v>165000</v>
      </c>
      <c r="G14" s="116"/>
      <c r="H14" s="17" t="s">
        <v>75</v>
      </c>
      <c r="I14" s="98"/>
      <c r="J14" s="102"/>
      <c r="K14" s="17"/>
    </row>
    <row r="15" spans="1:11" ht="34.799999999999997">
      <c r="A15" s="98">
        <v>9</v>
      </c>
      <c r="B15" s="98"/>
      <c r="C15" s="98">
        <v>7587</v>
      </c>
      <c r="D15" s="135">
        <v>45650</v>
      </c>
      <c r="E15" s="99" t="s">
        <v>649</v>
      </c>
      <c r="F15" s="100">
        <v>78000</v>
      </c>
      <c r="G15" s="101"/>
      <c r="H15" s="98" t="s">
        <v>75</v>
      </c>
      <c r="I15" s="98"/>
      <c r="J15" s="102"/>
      <c r="K15" s="17"/>
    </row>
    <row r="16" spans="1:11">
      <c r="A16" s="98">
        <v>10</v>
      </c>
      <c r="B16" s="98"/>
      <c r="C16" s="17">
        <v>7882</v>
      </c>
      <c r="D16" s="130">
        <v>45705</v>
      </c>
      <c r="E16" s="18" t="s">
        <v>145</v>
      </c>
      <c r="F16" s="24">
        <v>100000</v>
      </c>
      <c r="G16" s="116"/>
      <c r="H16" s="17" t="s">
        <v>75</v>
      </c>
      <c r="I16" s="98"/>
      <c r="J16" s="102"/>
      <c r="K16" s="17"/>
    </row>
    <row r="17" spans="1:11" ht="34.799999999999997">
      <c r="A17" s="98">
        <v>11</v>
      </c>
      <c r="B17" s="98"/>
      <c r="C17" s="17">
        <v>8062</v>
      </c>
      <c r="D17" s="130">
        <v>45739</v>
      </c>
      <c r="E17" s="18" t="s">
        <v>735</v>
      </c>
      <c r="F17" s="24">
        <v>105000</v>
      </c>
      <c r="G17" s="116"/>
      <c r="H17" s="17" t="s">
        <v>75</v>
      </c>
      <c r="I17" s="98"/>
      <c r="J17" s="102"/>
      <c r="K17" s="17"/>
    </row>
    <row r="18" spans="1:11">
      <c r="A18" s="98">
        <v>12</v>
      </c>
      <c r="B18" s="98"/>
      <c r="C18" s="17">
        <v>8713</v>
      </c>
      <c r="D18" s="130">
        <v>45777</v>
      </c>
      <c r="E18" s="18" t="s">
        <v>618</v>
      </c>
      <c r="F18" s="132">
        <v>285000</v>
      </c>
      <c r="G18" s="25"/>
      <c r="H18" s="117" t="s">
        <v>75</v>
      </c>
      <c r="I18" s="98"/>
      <c r="J18" s="102"/>
      <c r="K18" s="17"/>
    </row>
    <row r="19" spans="1:11">
      <c r="A19" s="98">
        <v>13</v>
      </c>
      <c r="B19" s="98"/>
      <c r="C19" s="17">
        <v>9087</v>
      </c>
      <c r="D19" s="130">
        <v>45836</v>
      </c>
      <c r="E19" s="18" t="s">
        <v>798</v>
      </c>
      <c r="F19" s="24">
        <v>25000</v>
      </c>
      <c r="G19" s="116"/>
      <c r="H19" s="17" t="s">
        <v>75</v>
      </c>
      <c r="I19" s="98"/>
      <c r="J19" s="102"/>
      <c r="K19" s="17"/>
    </row>
    <row r="20" spans="1:11">
      <c r="A20" s="98">
        <v>14</v>
      </c>
      <c r="B20" s="98"/>
      <c r="C20" s="98">
        <v>9539</v>
      </c>
      <c r="D20" s="135">
        <v>45890</v>
      </c>
      <c r="E20" s="99" t="s">
        <v>1014</v>
      </c>
      <c r="F20" s="100">
        <v>320000</v>
      </c>
      <c r="G20" s="101"/>
      <c r="H20" s="102" t="s">
        <v>75</v>
      </c>
      <c r="I20" s="98"/>
      <c r="J20" s="102"/>
      <c r="K20" s="17"/>
    </row>
    <row r="21" spans="1:11">
      <c r="A21" s="98">
        <v>15</v>
      </c>
      <c r="B21" s="98"/>
      <c r="C21" s="17">
        <v>303</v>
      </c>
      <c r="D21" s="130">
        <v>45977</v>
      </c>
      <c r="E21" s="18" t="s">
        <v>274</v>
      </c>
      <c r="F21" s="132">
        <v>75000</v>
      </c>
      <c r="G21" s="25"/>
      <c r="H21" s="17" t="s">
        <v>75</v>
      </c>
      <c r="I21" s="98"/>
      <c r="J21" s="102"/>
      <c r="K21" s="17"/>
    </row>
    <row r="22" spans="1:11" ht="34.799999999999997">
      <c r="A22" s="98">
        <v>16</v>
      </c>
      <c r="B22" s="98"/>
      <c r="C22" s="17">
        <v>615</v>
      </c>
      <c r="D22" s="130">
        <v>46018</v>
      </c>
      <c r="E22" s="18" t="s">
        <v>1146</v>
      </c>
      <c r="F22" s="132">
        <v>307000</v>
      </c>
      <c r="G22" s="25"/>
      <c r="H22" s="117" t="s">
        <v>75</v>
      </c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103"/>
      <c r="B24" s="206" t="s">
        <v>98</v>
      </c>
      <c r="C24" s="206"/>
      <c r="D24" s="103"/>
      <c r="E24" s="104"/>
      <c r="F24" s="105">
        <f>SUM(F7:F23)</f>
        <v>4419000</v>
      </c>
      <c r="G24" s="106">
        <f>SUM(G7:G23)</f>
        <v>0</v>
      </c>
      <c r="H24" s="103"/>
      <c r="I24" s="103"/>
      <c r="J24" s="107"/>
      <c r="K24" s="108"/>
    </row>
    <row r="25" spans="1:11">
      <c r="A25" s="109"/>
      <c r="B25" s="109"/>
      <c r="C25" s="109"/>
      <c r="D25" s="109"/>
      <c r="E25" s="110"/>
      <c r="F25" s="111"/>
      <c r="G25" s="112"/>
      <c r="H25" s="109"/>
      <c r="I25" s="109"/>
      <c r="J25" s="113"/>
    </row>
    <row r="26" spans="1:11">
      <c r="A26" s="109"/>
      <c r="B26" s="109"/>
      <c r="C26" s="109"/>
      <c r="D26" s="109"/>
      <c r="E26" s="110"/>
      <c r="F26" s="111"/>
      <c r="G26" s="112"/>
      <c r="H26" s="109"/>
      <c r="I26" s="109"/>
      <c r="J26" s="113"/>
    </row>
    <row r="27" spans="1:11">
      <c r="A27" s="109"/>
      <c r="B27" s="109"/>
      <c r="C27" s="109"/>
      <c r="D27" s="109"/>
      <c r="E27" s="110"/>
      <c r="F27" s="111"/>
      <c r="G27" s="112"/>
      <c r="H27" s="109"/>
      <c r="I27" s="109"/>
      <c r="J27" s="113"/>
    </row>
    <row r="28" spans="1:11">
      <c r="A28" s="109"/>
      <c r="B28" s="109"/>
      <c r="C28" s="109"/>
      <c r="D28" s="109"/>
      <c r="E28" s="110"/>
      <c r="F28" s="111"/>
      <c r="G28" s="112"/>
      <c r="H28" s="109"/>
      <c r="I28" s="109"/>
      <c r="J28" s="113"/>
    </row>
    <row r="29" spans="1:11">
      <c r="A29" s="109"/>
      <c r="B29" s="109"/>
      <c r="C29" s="109"/>
      <c r="D29" s="109"/>
      <c r="E29" s="110"/>
      <c r="F29" s="111"/>
      <c r="G29" s="112"/>
      <c r="H29" s="109"/>
      <c r="I29" s="109"/>
      <c r="J29" s="113"/>
    </row>
    <row r="30" spans="1:11">
      <c r="A30" s="109"/>
      <c r="B30" s="109"/>
      <c r="C30" s="109"/>
      <c r="D30" s="109"/>
      <c r="E30" s="110"/>
      <c r="F30" s="111"/>
      <c r="G30" s="112"/>
      <c r="H30" s="109"/>
      <c r="I30" s="109"/>
      <c r="J30" s="113"/>
    </row>
    <row r="31" spans="1:11">
      <c r="A31" s="109"/>
      <c r="B31" s="109"/>
      <c r="C31" s="109"/>
      <c r="D31" s="109"/>
      <c r="E31" s="110"/>
      <c r="F31" s="111"/>
      <c r="G31" s="112"/>
      <c r="H31" s="109"/>
      <c r="I31" s="109"/>
      <c r="J31" s="113"/>
    </row>
    <row r="32" spans="1:11">
      <c r="A32" s="109"/>
      <c r="B32" s="109"/>
      <c r="C32" s="109"/>
      <c r="D32" s="109"/>
      <c r="E32" s="110"/>
      <c r="F32" s="111"/>
      <c r="G32" s="112"/>
      <c r="H32" s="109"/>
      <c r="I32" s="109"/>
      <c r="J32" s="113"/>
    </row>
    <row r="33" spans="1:10">
      <c r="A33" s="109"/>
      <c r="B33" s="109"/>
      <c r="C33" s="109"/>
      <c r="D33" s="109"/>
      <c r="E33" s="110"/>
      <c r="F33" s="111"/>
      <c r="G33" s="112"/>
      <c r="H33" s="109"/>
      <c r="I33" s="109"/>
      <c r="J33" s="113"/>
    </row>
    <row r="34" spans="1:10">
      <c r="A34" s="109"/>
      <c r="B34" s="109"/>
      <c r="C34" s="109"/>
      <c r="D34" s="109"/>
      <c r="E34" s="110"/>
      <c r="F34" s="111"/>
      <c r="G34" s="112"/>
      <c r="H34" s="109"/>
      <c r="I34" s="109"/>
      <c r="J34" s="113"/>
    </row>
    <row r="35" spans="1:10">
      <c r="A35" s="109"/>
      <c r="B35" s="109"/>
      <c r="C35" s="109"/>
      <c r="D35" s="109"/>
      <c r="E35" s="110"/>
      <c r="F35" s="111"/>
      <c r="G35" s="112"/>
      <c r="H35" s="109"/>
      <c r="I35" s="109"/>
      <c r="J35" s="113"/>
    </row>
    <row r="36" spans="1:10">
      <c r="A36" s="109"/>
      <c r="B36" s="109"/>
      <c r="C36" s="109"/>
      <c r="D36" s="109"/>
      <c r="E36" s="110"/>
      <c r="F36" s="111"/>
      <c r="G36" s="112"/>
      <c r="H36" s="109"/>
      <c r="I36" s="109"/>
      <c r="J36" s="113"/>
    </row>
    <row r="37" spans="1:10">
      <c r="A37" s="109"/>
      <c r="B37" s="109"/>
      <c r="C37" s="109"/>
      <c r="D37" s="109"/>
      <c r="E37" s="110"/>
      <c r="F37" s="111"/>
      <c r="G37" s="112"/>
      <c r="H37" s="109"/>
      <c r="I37" s="109"/>
      <c r="J37" s="113"/>
    </row>
    <row r="38" spans="1:10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0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0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0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0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0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0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0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0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0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0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11"/>
      <c r="G73" s="112"/>
      <c r="H73" s="109"/>
      <c r="I73" s="109"/>
      <c r="J73" s="113"/>
    </row>
    <row r="74" spans="1:10">
      <c r="J74" s="115"/>
    </row>
    <row r="75" spans="1:10">
      <c r="J75" s="115"/>
    </row>
    <row r="76" spans="1:10">
      <c r="J76" s="115"/>
    </row>
    <row r="77" spans="1:10">
      <c r="J77" s="115"/>
    </row>
    <row r="78" spans="1:10">
      <c r="J78" s="115"/>
    </row>
    <row r="79" spans="1:10">
      <c r="J79" s="115"/>
    </row>
    <row r="80" spans="1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4:C24"/>
  </mergeCells>
  <hyperlinks>
    <hyperlink ref="K2" location="الاليات!A1" display="الاليات " xr:uid="{00000000-0004-0000-1700-000000000000}"/>
  </hyperlinks>
  <pageMargins left="0.7" right="0.7" top="0.75" bottom="0.75" header="0.3" footer="0.3"/>
  <pageSetup paperSize="9" scale="8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K153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3" width="15.33203125" style="1" bestFit="1" customWidth="1"/>
    <col min="4" max="4" width="12.77734375" style="1" bestFit="1" customWidth="1"/>
    <col min="5" max="5" width="17.886718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22</v>
      </c>
      <c r="B2" s="202" t="s">
        <v>60</v>
      </c>
      <c r="C2" s="203"/>
      <c r="D2" s="85"/>
      <c r="E2" s="86" t="s">
        <v>8</v>
      </c>
      <c r="F2" s="87">
        <v>2019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858</v>
      </c>
      <c r="D3" s="89"/>
      <c r="E3" s="86" t="s">
        <v>68</v>
      </c>
      <c r="F3" s="87" t="s">
        <v>70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140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 t="s">
        <v>95</v>
      </c>
      <c r="F5" s="142"/>
      <c r="G5" s="92"/>
      <c r="H5" s="81" t="s">
        <v>96</v>
      </c>
      <c r="I5" s="117">
        <f>MAX(J7:J176)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1</v>
      </c>
      <c r="B7" s="98" t="s">
        <v>75</v>
      </c>
      <c r="C7" s="98">
        <v>4266</v>
      </c>
      <c r="D7" s="135">
        <v>45047</v>
      </c>
      <c r="E7" s="99" t="s">
        <v>115</v>
      </c>
      <c r="F7" s="100">
        <v>290000</v>
      </c>
      <c r="G7" s="101"/>
      <c r="H7" s="98" t="s">
        <v>75</v>
      </c>
      <c r="I7" s="98"/>
      <c r="J7" s="102"/>
      <c r="K7" s="17"/>
    </row>
    <row r="8" spans="1:11" ht="34.799999999999997">
      <c r="A8" s="98">
        <v>2</v>
      </c>
      <c r="B8" s="98" t="s">
        <v>130</v>
      </c>
      <c r="C8" s="135"/>
      <c r="D8" s="135">
        <v>45047</v>
      </c>
      <c r="E8" s="99" t="s">
        <v>231</v>
      </c>
      <c r="F8" s="100">
        <v>45000</v>
      </c>
      <c r="G8" s="101"/>
      <c r="H8" s="98" t="s">
        <v>121</v>
      </c>
      <c r="I8" s="98"/>
      <c r="J8" s="102"/>
      <c r="K8" s="17"/>
    </row>
    <row r="9" spans="1:11">
      <c r="A9" s="98">
        <v>3</v>
      </c>
      <c r="B9" s="98" t="s">
        <v>140</v>
      </c>
      <c r="C9" s="135"/>
      <c r="D9" s="135" t="s">
        <v>244</v>
      </c>
      <c r="E9" s="99" t="s">
        <v>243</v>
      </c>
      <c r="F9" s="100">
        <v>30000</v>
      </c>
      <c r="G9" s="101"/>
      <c r="H9" s="98" t="s">
        <v>121</v>
      </c>
      <c r="I9" s="98"/>
      <c r="J9" s="102"/>
      <c r="K9" s="17"/>
    </row>
    <row r="10" spans="1:11" ht="34.799999999999997">
      <c r="A10" s="98">
        <v>4</v>
      </c>
      <c r="B10" s="98"/>
      <c r="C10" s="98">
        <v>4880</v>
      </c>
      <c r="D10" s="135">
        <v>45082</v>
      </c>
      <c r="E10" s="99" t="s">
        <v>294</v>
      </c>
      <c r="F10" s="100">
        <v>60000</v>
      </c>
      <c r="G10" s="101"/>
      <c r="H10" s="98" t="s">
        <v>75</v>
      </c>
      <c r="I10" s="98"/>
      <c r="J10" s="102"/>
      <c r="K10" s="17"/>
    </row>
    <row r="11" spans="1:11">
      <c r="A11" s="98">
        <v>5</v>
      </c>
      <c r="B11" s="98"/>
      <c r="C11" s="98">
        <v>4880</v>
      </c>
      <c r="D11" s="135">
        <v>45082</v>
      </c>
      <c r="E11" s="99" t="s">
        <v>135</v>
      </c>
      <c r="F11" s="100">
        <v>170000</v>
      </c>
      <c r="G11" s="101"/>
      <c r="H11" s="98" t="s">
        <v>75</v>
      </c>
      <c r="I11" s="98"/>
      <c r="J11" s="102"/>
      <c r="K11" s="17"/>
    </row>
    <row r="12" spans="1:11">
      <c r="A12" s="98">
        <v>6</v>
      </c>
      <c r="B12" s="98"/>
      <c r="C12" s="98">
        <v>4984</v>
      </c>
      <c r="D12" s="98" t="s">
        <v>302</v>
      </c>
      <c r="E12" s="99" t="s">
        <v>135</v>
      </c>
      <c r="F12" s="100">
        <v>73000</v>
      </c>
      <c r="G12" s="101"/>
      <c r="H12" s="98" t="s">
        <v>75</v>
      </c>
      <c r="I12" s="98"/>
      <c r="J12" s="102"/>
      <c r="K12" s="17"/>
    </row>
    <row r="13" spans="1:11">
      <c r="A13" s="98">
        <v>7</v>
      </c>
      <c r="B13" s="98"/>
      <c r="C13" s="98">
        <v>5596</v>
      </c>
      <c r="D13" s="135">
        <v>45117</v>
      </c>
      <c r="E13" s="99" t="s">
        <v>324</v>
      </c>
      <c r="F13" s="100">
        <v>242000</v>
      </c>
      <c r="G13" s="101"/>
      <c r="H13" s="98" t="s">
        <v>75</v>
      </c>
      <c r="I13" s="98"/>
      <c r="J13" s="102"/>
      <c r="K13" s="17"/>
    </row>
    <row r="14" spans="1:11">
      <c r="A14" s="98">
        <v>8</v>
      </c>
      <c r="B14" s="98"/>
      <c r="C14" s="98">
        <v>5666</v>
      </c>
      <c r="D14" s="98" t="s">
        <v>151</v>
      </c>
      <c r="E14" s="99" t="s">
        <v>324</v>
      </c>
      <c r="F14" s="100">
        <v>299000</v>
      </c>
      <c r="G14" s="101"/>
      <c r="H14" s="98" t="s">
        <v>75</v>
      </c>
      <c r="I14" s="98"/>
      <c r="J14" s="102"/>
      <c r="K14" s="17"/>
    </row>
    <row r="15" spans="1:11">
      <c r="A15" s="98">
        <v>9</v>
      </c>
      <c r="B15" s="98"/>
      <c r="C15" s="98">
        <v>6049</v>
      </c>
      <c r="D15" s="98" t="s">
        <v>401</v>
      </c>
      <c r="E15" s="99" t="s">
        <v>135</v>
      </c>
      <c r="F15" s="100">
        <v>175000</v>
      </c>
      <c r="G15" s="101"/>
      <c r="H15" s="98" t="s">
        <v>75</v>
      </c>
      <c r="I15" s="98"/>
      <c r="J15" s="102"/>
      <c r="K15" s="17"/>
    </row>
    <row r="16" spans="1:11">
      <c r="A16" s="98">
        <v>10</v>
      </c>
      <c r="B16" s="98"/>
      <c r="C16" s="98">
        <v>6145</v>
      </c>
      <c r="D16" s="135" t="s">
        <v>412</v>
      </c>
      <c r="E16" s="99" t="s">
        <v>331</v>
      </c>
      <c r="F16" s="100">
        <v>1910000</v>
      </c>
      <c r="G16" s="101"/>
      <c r="H16" s="98" t="s">
        <v>75</v>
      </c>
      <c r="I16" s="98"/>
      <c r="J16" s="102"/>
      <c r="K16" s="17"/>
    </row>
    <row r="17" spans="1:11">
      <c r="A17" s="98">
        <v>11</v>
      </c>
      <c r="B17" s="98"/>
      <c r="C17" s="98" t="s">
        <v>414</v>
      </c>
      <c r="D17" s="135">
        <v>45293</v>
      </c>
      <c r="E17" s="99" t="s">
        <v>167</v>
      </c>
      <c r="F17" s="100">
        <v>58500</v>
      </c>
      <c r="G17" s="101"/>
      <c r="H17" s="98"/>
      <c r="I17" s="98"/>
      <c r="J17" s="102"/>
      <c r="K17" s="17"/>
    </row>
    <row r="18" spans="1:11">
      <c r="A18" s="98">
        <v>12</v>
      </c>
      <c r="B18" s="98"/>
      <c r="C18" s="98">
        <v>6861</v>
      </c>
      <c r="D18" s="135">
        <v>45451</v>
      </c>
      <c r="E18" s="99" t="s">
        <v>558</v>
      </c>
      <c r="F18" s="100">
        <v>290000</v>
      </c>
      <c r="G18" s="101"/>
      <c r="H18" s="98" t="s">
        <v>75</v>
      </c>
      <c r="I18" s="98"/>
      <c r="J18" s="102"/>
      <c r="K18" s="17"/>
    </row>
    <row r="19" spans="1:11" ht="52.2">
      <c r="A19" s="98">
        <v>13</v>
      </c>
      <c r="B19" s="98"/>
      <c r="C19" s="98">
        <v>7829</v>
      </c>
      <c r="D19" s="135">
        <v>45696</v>
      </c>
      <c r="E19" s="99" t="s">
        <v>708</v>
      </c>
      <c r="F19" s="100">
        <v>70000</v>
      </c>
      <c r="G19" s="101"/>
      <c r="H19" s="98" t="s">
        <v>75</v>
      </c>
      <c r="I19" s="98"/>
      <c r="J19" s="102"/>
      <c r="K19" s="17"/>
    </row>
    <row r="20" spans="1:11">
      <c r="A20" s="98">
        <v>14</v>
      </c>
      <c r="B20" s="98"/>
      <c r="C20" s="17">
        <v>7882</v>
      </c>
      <c r="D20" s="130">
        <v>45705</v>
      </c>
      <c r="E20" s="18" t="s">
        <v>715</v>
      </c>
      <c r="F20" s="24">
        <v>70000</v>
      </c>
      <c r="G20" s="116"/>
      <c r="H20" s="17" t="s">
        <v>75</v>
      </c>
      <c r="I20" s="98"/>
      <c r="J20" s="102"/>
      <c r="K20" s="17"/>
    </row>
    <row r="21" spans="1:11">
      <c r="A21" s="98">
        <v>15</v>
      </c>
      <c r="B21" s="98"/>
      <c r="C21" s="17">
        <v>8062</v>
      </c>
      <c r="D21" s="130">
        <v>45739</v>
      </c>
      <c r="E21" s="18" t="s">
        <v>672</v>
      </c>
      <c r="F21" s="24">
        <v>335000</v>
      </c>
      <c r="G21" s="116"/>
      <c r="H21" s="17" t="s">
        <v>75</v>
      </c>
      <c r="I21" s="98"/>
      <c r="J21" s="102"/>
      <c r="K21" s="17"/>
    </row>
    <row r="22" spans="1:11" ht="34.799999999999997">
      <c r="A22" s="98">
        <v>16</v>
      </c>
      <c r="B22" s="98"/>
      <c r="C22" s="17">
        <v>8850</v>
      </c>
      <c r="D22" s="130">
        <v>45798</v>
      </c>
      <c r="E22" s="18" t="s">
        <v>784</v>
      </c>
      <c r="F22" s="132">
        <v>393000</v>
      </c>
      <c r="G22" s="25"/>
      <c r="H22" s="98" t="s">
        <v>75</v>
      </c>
      <c r="I22" s="98"/>
      <c r="J22" s="102"/>
      <c r="K22" s="17"/>
    </row>
    <row r="23" spans="1:11" ht="52.2">
      <c r="A23" s="98">
        <v>17</v>
      </c>
      <c r="B23" s="98"/>
      <c r="C23" s="18">
        <v>8981</v>
      </c>
      <c r="D23" s="133">
        <v>45813</v>
      </c>
      <c r="E23" s="18" t="s">
        <v>791</v>
      </c>
      <c r="F23" s="134">
        <v>153000</v>
      </c>
      <c r="G23" s="116"/>
      <c r="H23" s="17" t="s">
        <v>75</v>
      </c>
      <c r="I23" s="98"/>
      <c r="J23" s="102"/>
      <c r="K23" s="17"/>
    </row>
    <row r="24" spans="1:11" ht="34.799999999999997">
      <c r="A24" s="98">
        <v>18</v>
      </c>
      <c r="B24" s="98"/>
      <c r="C24" s="17">
        <v>9087</v>
      </c>
      <c r="D24" s="130">
        <v>45836</v>
      </c>
      <c r="E24" s="18" t="s">
        <v>800</v>
      </c>
      <c r="F24" s="24">
        <v>305000</v>
      </c>
      <c r="G24" s="116"/>
      <c r="H24" s="17" t="s">
        <v>75</v>
      </c>
      <c r="I24" s="98"/>
      <c r="J24" s="102"/>
      <c r="K24" s="17"/>
    </row>
    <row r="25" spans="1:11">
      <c r="A25" s="98">
        <v>19</v>
      </c>
      <c r="B25" s="98"/>
      <c r="C25" s="18">
        <v>9203</v>
      </c>
      <c r="D25" s="133">
        <v>45848</v>
      </c>
      <c r="E25" s="99" t="s">
        <v>811</v>
      </c>
      <c r="F25" s="100">
        <v>410000</v>
      </c>
      <c r="G25" s="127"/>
      <c r="H25" s="98" t="s">
        <v>75</v>
      </c>
      <c r="I25" s="98"/>
      <c r="J25" s="102"/>
      <c r="K25" s="17"/>
    </row>
    <row r="26" spans="1:11">
      <c r="A26" s="98">
        <v>20</v>
      </c>
      <c r="B26" s="98"/>
      <c r="C26" s="17">
        <v>9434</v>
      </c>
      <c r="D26" s="130">
        <v>45874</v>
      </c>
      <c r="E26" s="18" t="s">
        <v>681</v>
      </c>
      <c r="F26" s="132">
        <v>67000</v>
      </c>
      <c r="G26" s="25"/>
      <c r="H26" s="17" t="s">
        <v>75</v>
      </c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31</v>
      </c>
      <c r="B37" s="98"/>
      <c r="C37" s="98"/>
      <c r="D37" s="98"/>
      <c r="E37" s="99"/>
      <c r="F37" s="100"/>
      <c r="G37" s="101"/>
      <c r="H37" s="98"/>
      <c r="I37" s="98"/>
      <c r="J37" s="102"/>
      <c r="K37" s="17"/>
    </row>
    <row r="38" spans="1:11">
      <c r="A38" s="98">
        <v>32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98">
        <v>33</v>
      </c>
      <c r="B39" s="98"/>
      <c r="C39" s="98"/>
      <c r="D39" s="98"/>
      <c r="E39" s="99"/>
      <c r="F39" s="100"/>
      <c r="G39" s="101"/>
      <c r="H39" s="98"/>
      <c r="I39" s="98"/>
      <c r="J39" s="102"/>
      <c r="K39" s="17"/>
    </row>
    <row r="40" spans="1:11">
      <c r="A40" s="98">
        <v>34</v>
      </c>
      <c r="B40" s="98"/>
      <c r="C40" s="98"/>
      <c r="D40" s="98"/>
      <c r="E40" s="99"/>
      <c r="F40" s="100"/>
      <c r="G40" s="101"/>
      <c r="H40" s="98"/>
      <c r="I40" s="98"/>
      <c r="J40" s="102"/>
      <c r="K40" s="17"/>
    </row>
    <row r="41" spans="1:11">
      <c r="A41" s="98">
        <v>35</v>
      </c>
      <c r="B41" s="98"/>
      <c r="C41" s="98"/>
      <c r="D41" s="98"/>
      <c r="E41" s="99"/>
      <c r="F41" s="100"/>
      <c r="G41" s="101"/>
      <c r="H41" s="98"/>
      <c r="I41" s="98"/>
      <c r="J41" s="102"/>
      <c r="K41" s="17"/>
    </row>
    <row r="42" spans="1:11">
      <c r="A42" s="98">
        <v>36</v>
      </c>
      <c r="B42" s="98"/>
      <c r="C42" s="98"/>
      <c r="D42" s="98"/>
      <c r="E42" s="99"/>
      <c r="F42" s="100"/>
      <c r="G42" s="101"/>
      <c r="H42" s="98"/>
      <c r="I42" s="98"/>
      <c r="J42" s="102"/>
      <c r="K42" s="17"/>
    </row>
    <row r="43" spans="1:11">
      <c r="A43" s="98">
        <v>37</v>
      </c>
      <c r="B43" s="98"/>
      <c r="C43" s="98"/>
      <c r="D43" s="98"/>
      <c r="E43" s="99"/>
      <c r="F43" s="100"/>
      <c r="G43" s="101"/>
      <c r="H43" s="98"/>
      <c r="I43" s="98"/>
      <c r="J43" s="102"/>
      <c r="K43" s="17"/>
    </row>
    <row r="44" spans="1:11">
      <c r="A44" s="98">
        <v>38</v>
      </c>
      <c r="B44" s="98"/>
      <c r="C44" s="98"/>
      <c r="D44" s="98"/>
      <c r="E44" s="99"/>
      <c r="F44" s="100"/>
      <c r="G44" s="101"/>
      <c r="H44" s="98"/>
      <c r="I44" s="98"/>
      <c r="J44" s="102"/>
      <c r="K44" s="17"/>
    </row>
    <row r="45" spans="1:11">
      <c r="A45" s="98">
        <v>39</v>
      </c>
      <c r="B45" s="98"/>
      <c r="C45" s="98"/>
      <c r="D45" s="98"/>
      <c r="E45" s="99"/>
      <c r="F45" s="100"/>
      <c r="G45" s="101"/>
      <c r="H45" s="98"/>
      <c r="I45" s="98"/>
      <c r="J45" s="102"/>
      <c r="K45" s="17"/>
    </row>
    <row r="46" spans="1:11">
      <c r="A46" s="98">
        <v>40</v>
      </c>
      <c r="B46" s="98"/>
      <c r="C46" s="98"/>
      <c r="D46" s="98"/>
      <c r="E46" s="99"/>
      <c r="F46" s="100"/>
      <c r="G46" s="101"/>
      <c r="H46" s="98"/>
      <c r="I46" s="98"/>
      <c r="J46" s="102"/>
      <c r="K46" s="17"/>
    </row>
    <row r="47" spans="1:11">
      <c r="A47" s="98">
        <v>41</v>
      </c>
      <c r="B47" s="98"/>
      <c r="C47" s="98"/>
      <c r="D47" s="98"/>
      <c r="E47" s="99"/>
      <c r="F47" s="100"/>
      <c r="G47" s="101"/>
      <c r="H47" s="98"/>
      <c r="I47" s="98"/>
      <c r="J47" s="102"/>
      <c r="K47" s="17"/>
    </row>
    <row r="48" spans="1:11">
      <c r="A48" s="98">
        <v>42</v>
      </c>
      <c r="B48" s="98"/>
      <c r="C48" s="98"/>
      <c r="D48" s="98"/>
      <c r="E48" s="99"/>
      <c r="F48" s="100"/>
      <c r="G48" s="101"/>
      <c r="H48" s="98"/>
      <c r="I48" s="98"/>
      <c r="J48" s="102"/>
      <c r="K48" s="17"/>
    </row>
    <row r="49" spans="1:11">
      <c r="A49" s="98">
        <v>43</v>
      </c>
      <c r="B49" s="98"/>
      <c r="C49" s="98"/>
      <c r="D49" s="98"/>
      <c r="E49" s="99"/>
      <c r="F49" s="100"/>
      <c r="G49" s="101"/>
      <c r="H49" s="98"/>
      <c r="I49" s="98"/>
      <c r="J49" s="102"/>
      <c r="K49" s="17"/>
    </row>
    <row r="50" spans="1:11">
      <c r="A50" s="98">
        <v>44</v>
      </c>
      <c r="B50" s="98"/>
      <c r="C50" s="98"/>
      <c r="D50" s="98"/>
      <c r="E50" s="99"/>
      <c r="F50" s="100"/>
      <c r="G50" s="101"/>
      <c r="H50" s="98"/>
      <c r="I50" s="98"/>
      <c r="J50" s="102"/>
      <c r="K50" s="17"/>
    </row>
    <row r="51" spans="1:11">
      <c r="A51" s="98">
        <v>45</v>
      </c>
      <c r="B51" s="98"/>
      <c r="C51" s="98"/>
      <c r="D51" s="98"/>
      <c r="E51" s="99"/>
      <c r="F51" s="100"/>
      <c r="G51" s="101"/>
      <c r="H51" s="98"/>
      <c r="I51" s="98"/>
      <c r="J51" s="102"/>
      <c r="K51" s="17"/>
    </row>
    <row r="52" spans="1:11">
      <c r="A52" s="98">
        <v>46</v>
      </c>
      <c r="B52" s="98"/>
      <c r="C52" s="98"/>
      <c r="D52" s="98"/>
      <c r="E52" s="99"/>
      <c r="F52" s="100"/>
      <c r="G52" s="101"/>
      <c r="H52" s="98"/>
      <c r="I52" s="98"/>
      <c r="J52" s="102"/>
      <c r="K52" s="17"/>
    </row>
    <row r="53" spans="1:11">
      <c r="A53" s="98">
        <v>47</v>
      </c>
      <c r="B53" s="98"/>
      <c r="C53" s="98"/>
      <c r="D53" s="98"/>
      <c r="E53" s="99"/>
      <c r="F53" s="100"/>
      <c r="G53" s="101"/>
      <c r="H53" s="98"/>
      <c r="I53" s="98"/>
      <c r="J53" s="102"/>
      <c r="K53" s="17"/>
    </row>
    <row r="54" spans="1:11">
      <c r="A54" s="98">
        <v>48</v>
      </c>
      <c r="B54" s="98"/>
      <c r="C54" s="98"/>
      <c r="D54" s="98"/>
      <c r="E54" s="99"/>
      <c r="F54" s="100"/>
      <c r="G54" s="101"/>
      <c r="H54" s="98"/>
      <c r="I54" s="98"/>
      <c r="J54" s="102"/>
      <c r="K54" s="17"/>
    </row>
    <row r="55" spans="1:11">
      <c r="A55" s="98">
        <v>49</v>
      </c>
      <c r="B55" s="98"/>
      <c r="C55" s="98"/>
      <c r="D55" s="98"/>
      <c r="E55" s="99"/>
      <c r="F55" s="100"/>
      <c r="G55" s="101"/>
      <c r="H55" s="98"/>
      <c r="I55" s="98"/>
      <c r="J55" s="102"/>
      <c r="K55" s="17"/>
    </row>
    <row r="56" spans="1:11">
      <c r="A56" s="98">
        <v>50</v>
      </c>
      <c r="B56" s="98"/>
      <c r="C56" s="98"/>
      <c r="D56" s="98"/>
      <c r="E56" s="99"/>
      <c r="F56" s="100"/>
      <c r="G56" s="101"/>
      <c r="H56" s="98"/>
      <c r="I56" s="98"/>
      <c r="J56" s="102"/>
      <c r="K56" s="17"/>
    </row>
    <row r="57" spans="1:11">
      <c r="A57" s="98">
        <v>51</v>
      </c>
      <c r="B57" s="98"/>
      <c r="C57" s="98"/>
      <c r="D57" s="98"/>
      <c r="E57" s="99"/>
      <c r="F57" s="100"/>
      <c r="G57" s="101"/>
      <c r="H57" s="98"/>
      <c r="I57" s="98"/>
      <c r="J57" s="102"/>
      <c r="K57" s="17"/>
    </row>
    <row r="58" spans="1:11">
      <c r="A58" s="98">
        <v>52</v>
      </c>
      <c r="B58" s="98"/>
      <c r="C58" s="98"/>
      <c r="D58" s="98"/>
      <c r="E58" s="99"/>
      <c r="F58" s="100"/>
      <c r="G58" s="101"/>
      <c r="H58" s="98"/>
      <c r="I58" s="98"/>
      <c r="J58" s="102"/>
      <c r="K58" s="17"/>
    </row>
    <row r="59" spans="1:11">
      <c r="A59" s="98">
        <v>53</v>
      </c>
      <c r="B59" s="98"/>
      <c r="C59" s="98"/>
      <c r="D59" s="98"/>
      <c r="E59" s="99"/>
      <c r="F59" s="100"/>
      <c r="G59" s="101"/>
      <c r="H59" s="98"/>
      <c r="I59" s="98"/>
      <c r="J59" s="102"/>
      <c r="K59" s="17"/>
    </row>
    <row r="60" spans="1:11">
      <c r="A60" s="98">
        <v>54</v>
      </c>
      <c r="B60" s="98"/>
      <c r="C60" s="98"/>
      <c r="D60" s="98"/>
      <c r="E60" s="99"/>
      <c r="F60" s="100"/>
      <c r="G60" s="101"/>
      <c r="H60" s="98"/>
      <c r="I60" s="98"/>
      <c r="J60" s="102"/>
      <c r="K60" s="17"/>
    </row>
    <row r="61" spans="1:11">
      <c r="A61" s="98">
        <v>55</v>
      </c>
      <c r="B61" s="98"/>
      <c r="C61" s="98"/>
      <c r="D61" s="98"/>
      <c r="E61" s="99"/>
      <c r="F61" s="100"/>
      <c r="G61" s="101"/>
      <c r="H61" s="98"/>
      <c r="I61" s="98"/>
      <c r="J61" s="102"/>
      <c r="K61" s="17"/>
    </row>
    <row r="62" spans="1:11">
      <c r="A62" s="98">
        <v>56</v>
      </c>
      <c r="B62" s="98"/>
      <c r="C62" s="98"/>
      <c r="D62" s="98"/>
      <c r="E62" s="99"/>
      <c r="F62" s="100"/>
      <c r="G62" s="101"/>
      <c r="H62" s="98"/>
      <c r="I62" s="98"/>
      <c r="J62" s="102"/>
      <c r="K62" s="17"/>
    </row>
    <row r="63" spans="1:11">
      <c r="A63" s="98">
        <v>57</v>
      </c>
      <c r="B63" s="98"/>
      <c r="C63" s="98"/>
      <c r="D63" s="98"/>
      <c r="E63" s="99"/>
      <c r="F63" s="100"/>
      <c r="G63" s="101"/>
      <c r="H63" s="98"/>
      <c r="I63" s="98"/>
      <c r="J63" s="102"/>
      <c r="K63" s="17"/>
    </row>
    <row r="64" spans="1:11">
      <c r="A64" s="98">
        <v>58</v>
      </c>
      <c r="B64" s="98"/>
      <c r="C64" s="98"/>
      <c r="D64" s="98"/>
      <c r="E64" s="99"/>
      <c r="F64" s="100"/>
      <c r="G64" s="101"/>
      <c r="H64" s="98"/>
      <c r="I64" s="98"/>
      <c r="J64" s="102"/>
      <c r="K64" s="17"/>
    </row>
    <row r="65" spans="1:11">
      <c r="A65" s="98">
        <v>59</v>
      </c>
      <c r="B65" s="98"/>
      <c r="C65" s="98"/>
      <c r="D65" s="98"/>
      <c r="E65" s="99"/>
      <c r="F65" s="100"/>
      <c r="G65" s="101"/>
      <c r="H65" s="98"/>
      <c r="I65" s="98"/>
      <c r="J65" s="102"/>
      <c r="K65" s="17"/>
    </row>
    <row r="66" spans="1:11">
      <c r="A66" s="98">
        <v>60</v>
      </c>
      <c r="B66" s="98"/>
      <c r="C66" s="98"/>
      <c r="D66" s="98"/>
      <c r="E66" s="99"/>
      <c r="F66" s="100"/>
      <c r="G66" s="101"/>
      <c r="H66" s="98"/>
      <c r="I66" s="98"/>
      <c r="J66" s="102"/>
      <c r="K66" s="17"/>
    </row>
    <row r="67" spans="1:11">
      <c r="A67" s="103"/>
      <c r="B67" s="206" t="s">
        <v>98</v>
      </c>
      <c r="C67" s="206"/>
      <c r="D67" s="103"/>
      <c r="E67" s="104"/>
      <c r="F67" s="105">
        <f>SUM(F7:F66)</f>
        <v>5445500</v>
      </c>
      <c r="G67" s="106">
        <f>SUM(G7:G66)</f>
        <v>0</v>
      </c>
      <c r="H67" s="103"/>
      <c r="I67" s="103"/>
      <c r="J67" s="107"/>
      <c r="K67" s="108"/>
    </row>
    <row r="68" spans="1:11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1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1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1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1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1">
      <c r="A73" s="109"/>
      <c r="B73" s="109"/>
      <c r="C73" s="109"/>
      <c r="D73" s="109"/>
      <c r="E73" s="110"/>
      <c r="F73" s="111"/>
      <c r="G73" s="112"/>
      <c r="H73" s="109"/>
      <c r="I73" s="109"/>
      <c r="J73" s="113"/>
    </row>
    <row r="74" spans="1:11">
      <c r="A74" s="109"/>
      <c r="B74" s="109"/>
      <c r="C74" s="109"/>
      <c r="D74" s="109"/>
      <c r="E74" s="110"/>
      <c r="F74" s="111"/>
      <c r="G74" s="112"/>
      <c r="H74" s="109"/>
      <c r="I74" s="109"/>
      <c r="J74" s="113"/>
    </row>
    <row r="75" spans="1:11">
      <c r="A75" s="109"/>
      <c r="B75" s="109"/>
      <c r="C75" s="109"/>
      <c r="D75" s="109"/>
      <c r="E75" s="110"/>
      <c r="F75" s="111"/>
      <c r="G75" s="112"/>
      <c r="H75" s="109"/>
      <c r="I75" s="109"/>
      <c r="J75" s="113"/>
    </row>
    <row r="76" spans="1:11">
      <c r="A76" s="109"/>
      <c r="B76" s="109"/>
      <c r="C76" s="109"/>
      <c r="D76" s="109"/>
      <c r="E76" s="110"/>
      <c r="F76" s="111"/>
      <c r="G76" s="112"/>
      <c r="H76" s="109"/>
      <c r="I76" s="109"/>
      <c r="J76" s="113"/>
    </row>
    <row r="77" spans="1:11">
      <c r="A77" s="109"/>
      <c r="B77" s="109"/>
      <c r="C77" s="109"/>
      <c r="D77" s="109"/>
      <c r="E77" s="110"/>
      <c r="F77" s="111"/>
      <c r="G77" s="112"/>
      <c r="H77" s="109"/>
      <c r="I77" s="109"/>
      <c r="J77" s="113"/>
    </row>
    <row r="78" spans="1:11">
      <c r="A78" s="109"/>
      <c r="B78" s="109"/>
      <c r="C78" s="109"/>
      <c r="D78" s="109"/>
      <c r="E78" s="110"/>
      <c r="F78" s="111"/>
      <c r="G78" s="112"/>
      <c r="H78" s="109"/>
      <c r="I78" s="109"/>
      <c r="J78" s="113"/>
    </row>
    <row r="79" spans="1:11">
      <c r="A79" s="109"/>
      <c r="B79" s="109"/>
      <c r="C79" s="109"/>
      <c r="D79" s="109"/>
      <c r="E79" s="110"/>
      <c r="F79" s="111"/>
      <c r="G79" s="112"/>
      <c r="H79" s="109"/>
      <c r="I79" s="109"/>
      <c r="J79" s="113"/>
    </row>
    <row r="80" spans="1:11">
      <c r="A80" s="109"/>
      <c r="B80" s="109"/>
      <c r="C80" s="109"/>
      <c r="D80" s="109"/>
      <c r="E80" s="110"/>
      <c r="F80" s="111"/>
      <c r="G80" s="112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11"/>
      <c r="G81" s="112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11"/>
      <c r="G82" s="112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11"/>
      <c r="G83" s="112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11"/>
      <c r="G84" s="112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11"/>
      <c r="G85" s="112"/>
      <c r="H85" s="109"/>
      <c r="I85" s="109"/>
      <c r="J85" s="113"/>
    </row>
    <row r="86" spans="1:10">
      <c r="A86" s="109"/>
      <c r="B86" s="109"/>
      <c r="C86" s="109"/>
      <c r="D86" s="109"/>
      <c r="E86" s="110"/>
      <c r="F86" s="111"/>
      <c r="G86" s="112"/>
      <c r="H86" s="109"/>
      <c r="I86" s="109"/>
      <c r="J86" s="113"/>
    </row>
    <row r="87" spans="1:10">
      <c r="A87" s="109"/>
      <c r="B87" s="109"/>
      <c r="C87" s="109"/>
      <c r="D87" s="109"/>
      <c r="E87" s="110"/>
      <c r="F87" s="111"/>
      <c r="G87" s="112"/>
      <c r="H87" s="109"/>
      <c r="I87" s="109"/>
      <c r="J87" s="113"/>
    </row>
    <row r="88" spans="1:10">
      <c r="A88" s="109"/>
      <c r="B88" s="109"/>
      <c r="C88" s="109"/>
      <c r="D88" s="109"/>
      <c r="E88" s="110"/>
      <c r="F88" s="111"/>
      <c r="G88" s="112"/>
      <c r="H88" s="109"/>
      <c r="I88" s="109"/>
      <c r="J88" s="113"/>
    </row>
    <row r="89" spans="1:10">
      <c r="A89" s="109"/>
      <c r="B89" s="109"/>
      <c r="C89" s="109"/>
      <c r="D89" s="109"/>
      <c r="E89" s="110"/>
      <c r="F89" s="111"/>
      <c r="G89" s="112"/>
      <c r="H89" s="109"/>
      <c r="I89" s="109"/>
      <c r="J89" s="113"/>
    </row>
    <row r="90" spans="1:10">
      <c r="A90" s="109"/>
      <c r="B90" s="109"/>
      <c r="C90" s="109"/>
      <c r="D90" s="109"/>
      <c r="E90" s="110"/>
      <c r="F90" s="111"/>
      <c r="G90" s="112"/>
      <c r="H90" s="109"/>
      <c r="I90" s="109"/>
      <c r="J90" s="113"/>
    </row>
    <row r="91" spans="1:10">
      <c r="A91" s="109"/>
      <c r="B91" s="109"/>
      <c r="C91" s="109"/>
      <c r="D91" s="109"/>
      <c r="E91" s="110"/>
      <c r="F91" s="111"/>
      <c r="G91" s="112"/>
      <c r="H91" s="109"/>
      <c r="I91" s="109"/>
      <c r="J91" s="113"/>
    </row>
    <row r="92" spans="1:10">
      <c r="A92" s="109"/>
      <c r="B92" s="109"/>
      <c r="C92" s="109"/>
      <c r="D92" s="109"/>
      <c r="E92" s="110"/>
      <c r="F92" s="111"/>
      <c r="G92" s="112"/>
      <c r="H92" s="109"/>
      <c r="I92" s="109"/>
      <c r="J92" s="113"/>
    </row>
    <row r="93" spans="1:10">
      <c r="A93" s="109"/>
      <c r="B93" s="109"/>
      <c r="C93" s="109"/>
      <c r="D93" s="109"/>
      <c r="E93" s="110"/>
      <c r="F93" s="111"/>
      <c r="G93" s="112"/>
      <c r="H93" s="109"/>
      <c r="I93" s="109"/>
      <c r="J93" s="113"/>
    </row>
    <row r="94" spans="1:10">
      <c r="A94" s="109"/>
      <c r="B94" s="109"/>
      <c r="C94" s="109"/>
      <c r="D94" s="109"/>
      <c r="E94" s="110"/>
      <c r="F94" s="111"/>
      <c r="G94" s="112"/>
      <c r="H94" s="109"/>
      <c r="I94" s="109"/>
      <c r="J94" s="113"/>
    </row>
    <row r="95" spans="1:10">
      <c r="A95" s="109"/>
      <c r="B95" s="109"/>
      <c r="C95" s="109"/>
      <c r="D95" s="109"/>
      <c r="E95" s="110"/>
      <c r="F95" s="111"/>
      <c r="G95" s="112"/>
      <c r="H95" s="109"/>
      <c r="I95" s="109"/>
      <c r="J95" s="113"/>
    </row>
    <row r="96" spans="1:10">
      <c r="A96" s="109"/>
      <c r="B96" s="109"/>
      <c r="C96" s="109"/>
      <c r="D96" s="109"/>
      <c r="E96" s="110"/>
      <c r="F96" s="111"/>
      <c r="G96" s="112"/>
      <c r="H96" s="109"/>
      <c r="I96" s="109"/>
      <c r="J96" s="113"/>
    </row>
    <row r="97" spans="1:10">
      <c r="A97" s="109"/>
      <c r="B97" s="109"/>
      <c r="C97" s="109"/>
      <c r="D97" s="109"/>
      <c r="E97" s="110"/>
      <c r="F97" s="111"/>
      <c r="G97" s="112"/>
      <c r="H97" s="109"/>
      <c r="I97" s="109"/>
      <c r="J97" s="113"/>
    </row>
    <row r="98" spans="1:10">
      <c r="A98" s="109"/>
      <c r="B98" s="109"/>
      <c r="C98" s="109"/>
      <c r="D98" s="109"/>
      <c r="E98" s="110"/>
      <c r="F98" s="111"/>
      <c r="G98" s="112"/>
      <c r="H98" s="109"/>
      <c r="I98" s="109"/>
      <c r="J98" s="113"/>
    </row>
    <row r="99" spans="1:10">
      <c r="A99" s="109"/>
      <c r="B99" s="109"/>
      <c r="C99" s="109"/>
      <c r="D99" s="109"/>
      <c r="E99" s="110"/>
      <c r="F99" s="111"/>
      <c r="G99" s="112"/>
      <c r="H99" s="109"/>
      <c r="I99" s="109"/>
      <c r="J99" s="113"/>
    </row>
    <row r="100" spans="1:10">
      <c r="A100" s="109"/>
      <c r="B100" s="109"/>
      <c r="C100" s="109"/>
      <c r="D100" s="109"/>
      <c r="E100" s="110"/>
      <c r="F100" s="111"/>
      <c r="G100" s="112"/>
      <c r="H100" s="109"/>
      <c r="I100" s="109"/>
      <c r="J100" s="113"/>
    </row>
    <row r="101" spans="1:10">
      <c r="A101" s="109"/>
      <c r="B101" s="109"/>
      <c r="C101" s="109"/>
      <c r="D101" s="109"/>
      <c r="E101" s="110"/>
      <c r="F101" s="111"/>
      <c r="G101" s="112"/>
      <c r="H101" s="109"/>
      <c r="I101" s="109"/>
      <c r="J101" s="113"/>
    </row>
    <row r="102" spans="1:10">
      <c r="A102" s="109"/>
      <c r="B102" s="109"/>
      <c r="C102" s="109"/>
      <c r="D102" s="109"/>
      <c r="E102" s="110"/>
      <c r="F102" s="111"/>
      <c r="G102" s="112"/>
      <c r="H102" s="109"/>
      <c r="I102" s="109"/>
      <c r="J102" s="113"/>
    </row>
    <row r="103" spans="1:10">
      <c r="A103" s="109"/>
      <c r="B103" s="109"/>
      <c r="C103" s="109"/>
      <c r="D103" s="109"/>
      <c r="E103" s="110"/>
      <c r="F103" s="111"/>
      <c r="G103" s="112"/>
      <c r="H103" s="109"/>
      <c r="I103" s="109"/>
      <c r="J103" s="113"/>
    </row>
    <row r="104" spans="1:10">
      <c r="A104" s="109"/>
      <c r="B104" s="109"/>
      <c r="C104" s="109"/>
      <c r="D104" s="109"/>
      <c r="E104" s="110"/>
      <c r="F104" s="111"/>
      <c r="G104" s="112"/>
      <c r="H104" s="109"/>
      <c r="I104" s="109"/>
      <c r="J104" s="113"/>
    </row>
    <row r="105" spans="1:10">
      <c r="A105" s="109"/>
      <c r="B105" s="109"/>
      <c r="C105" s="109"/>
      <c r="D105" s="109"/>
      <c r="E105" s="110"/>
      <c r="F105" s="111"/>
      <c r="G105" s="112"/>
      <c r="H105" s="109"/>
      <c r="I105" s="109"/>
      <c r="J105" s="113"/>
    </row>
    <row r="106" spans="1:10">
      <c r="A106" s="109"/>
      <c r="B106" s="109"/>
      <c r="C106" s="109"/>
      <c r="D106" s="109"/>
      <c r="E106" s="110"/>
      <c r="F106" s="111"/>
      <c r="G106" s="112"/>
      <c r="H106" s="109"/>
      <c r="I106" s="109"/>
      <c r="J106" s="113"/>
    </row>
    <row r="107" spans="1:10">
      <c r="A107" s="109"/>
      <c r="B107" s="109"/>
      <c r="C107" s="109"/>
      <c r="D107" s="109"/>
      <c r="E107" s="110"/>
      <c r="F107" s="111"/>
      <c r="G107" s="112"/>
      <c r="H107" s="109"/>
      <c r="I107" s="109"/>
      <c r="J107" s="113"/>
    </row>
    <row r="108" spans="1:10">
      <c r="A108" s="109"/>
      <c r="B108" s="109"/>
      <c r="C108" s="109"/>
      <c r="D108" s="109"/>
      <c r="E108" s="110"/>
      <c r="F108" s="111"/>
      <c r="G108" s="112"/>
      <c r="H108" s="109"/>
      <c r="I108" s="109"/>
      <c r="J108" s="113"/>
    </row>
    <row r="109" spans="1:10">
      <c r="A109" s="109"/>
      <c r="B109" s="109"/>
      <c r="C109" s="109"/>
      <c r="D109" s="109"/>
      <c r="E109" s="110"/>
      <c r="F109" s="111"/>
      <c r="G109" s="112"/>
      <c r="H109" s="109"/>
      <c r="I109" s="109"/>
      <c r="J109" s="113"/>
    </row>
    <row r="110" spans="1:10">
      <c r="A110" s="109"/>
      <c r="B110" s="109"/>
      <c r="C110" s="109"/>
      <c r="D110" s="109"/>
      <c r="E110" s="110"/>
      <c r="F110" s="111"/>
      <c r="G110" s="112"/>
      <c r="H110" s="109"/>
      <c r="I110" s="109"/>
      <c r="J110" s="113"/>
    </row>
    <row r="111" spans="1:10">
      <c r="A111" s="109"/>
      <c r="B111" s="109"/>
      <c r="C111" s="109"/>
      <c r="D111" s="109"/>
      <c r="E111" s="110"/>
      <c r="F111" s="111"/>
      <c r="G111" s="112"/>
      <c r="H111" s="109"/>
      <c r="I111" s="109"/>
      <c r="J111" s="113"/>
    </row>
    <row r="112" spans="1:10">
      <c r="A112" s="109"/>
      <c r="B112" s="109"/>
      <c r="C112" s="109"/>
      <c r="D112" s="109"/>
      <c r="E112" s="110"/>
      <c r="F112" s="111"/>
      <c r="G112" s="112"/>
      <c r="H112" s="109"/>
      <c r="I112" s="109"/>
      <c r="J112" s="113"/>
    </row>
    <row r="113" spans="1:10">
      <c r="A113" s="109"/>
      <c r="B113" s="109"/>
      <c r="C113" s="109"/>
      <c r="D113" s="109"/>
      <c r="E113" s="110"/>
      <c r="F113" s="111"/>
      <c r="G113" s="112"/>
      <c r="H113" s="109"/>
      <c r="I113" s="109"/>
      <c r="J113" s="113"/>
    </row>
    <row r="114" spans="1:10">
      <c r="A114" s="109"/>
      <c r="B114" s="109"/>
      <c r="C114" s="109"/>
      <c r="D114" s="109"/>
      <c r="E114" s="110"/>
      <c r="F114" s="111"/>
      <c r="G114" s="112"/>
      <c r="H114" s="109"/>
      <c r="I114" s="109"/>
      <c r="J114" s="113"/>
    </row>
    <row r="115" spans="1:10">
      <c r="A115" s="109"/>
      <c r="B115" s="109"/>
      <c r="C115" s="109"/>
      <c r="D115" s="109"/>
      <c r="E115" s="110"/>
      <c r="F115" s="111"/>
      <c r="G115" s="112"/>
      <c r="H115" s="109"/>
      <c r="I115" s="109"/>
      <c r="J115" s="113"/>
    </row>
    <row r="116" spans="1:10">
      <c r="A116" s="109"/>
      <c r="B116" s="109"/>
      <c r="C116" s="109"/>
      <c r="D116" s="109"/>
      <c r="E116" s="110"/>
      <c r="F116" s="111"/>
      <c r="G116" s="112"/>
      <c r="H116" s="109"/>
      <c r="I116" s="109"/>
      <c r="J116" s="113"/>
    </row>
    <row r="117" spans="1:10">
      <c r="J117" s="115"/>
    </row>
    <row r="118" spans="1:10">
      <c r="J118" s="115"/>
    </row>
    <row r="119" spans="1:10">
      <c r="J119" s="115"/>
    </row>
    <row r="120" spans="1:10">
      <c r="J120" s="115"/>
    </row>
    <row r="121" spans="1:10">
      <c r="J121" s="115"/>
    </row>
    <row r="122" spans="1:10">
      <c r="J122" s="115"/>
    </row>
    <row r="123" spans="1:10">
      <c r="J123" s="115"/>
    </row>
    <row r="124" spans="1:10">
      <c r="J124" s="115"/>
    </row>
    <row r="125" spans="1:10">
      <c r="J125" s="115"/>
    </row>
    <row r="126" spans="1:10">
      <c r="J126" s="115"/>
    </row>
    <row r="127" spans="1:10">
      <c r="J127" s="115"/>
    </row>
    <row r="128" spans="1:10">
      <c r="J128" s="115"/>
    </row>
    <row r="129" spans="10:10">
      <c r="J129" s="115"/>
    </row>
    <row r="130" spans="10:10">
      <c r="J130" s="115"/>
    </row>
    <row r="131" spans="10:10">
      <c r="J131" s="115"/>
    </row>
    <row r="132" spans="10:10">
      <c r="J132" s="115"/>
    </row>
    <row r="133" spans="10:10">
      <c r="J133" s="115"/>
    </row>
    <row r="134" spans="10:10">
      <c r="J134" s="115"/>
    </row>
    <row r="135" spans="10:10">
      <c r="J135" s="115"/>
    </row>
    <row r="136" spans="10:10">
      <c r="J136" s="115"/>
    </row>
    <row r="137" spans="10:10">
      <c r="J137" s="115"/>
    </row>
    <row r="138" spans="10:10">
      <c r="J138" s="115"/>
    </row>
    <row r="139" spans="10:10">
      <c r="J139" s="115"/>
    </row>
    <row r="140" spans="10:10">
      <c r="J140" s="115"/>
    </row>
    <row r="141" spans="10:10">
      <c r="J141" s="115"/>
    </row>
    <row r="142" spans="10:10">
      <c r="J142" s="115"/>
    </row>
    <row r="143" spans="10:10">
      <c r="J143" s="115"/>
    </row>
    <row r="144" spans="10:10">
      <c r="J144" s="115"/>
    </row>
    <row r="145" spans="10:10">
      <c r="J145" s="115"/>
    </row>
    <row r="146" spans="10:10">
      <c r="J146" s="115"/>
    </row>
    <row r="147" spans="10:10">
      <c r="J147" s="115"/>
    </row>
    <row r="148" spans="10:10">
      <c r="J148" s="115"/>
    </row>
    <row r="149" spans="10:10">
      <c r="J149" s="115"/>
    </row>
    <row r="150" spans="10:10">
      <c r="J150" s="115"/>
    </row>
    <row r="151" spans="10:10">
      <c r="J151" s="115"/>
    </row>
    <row r="152" spans="10:10">
      <c r="J152" s="115"/>
    </row>
    <row r="153" spans="10:10">
      <c r="J153" s="115"/>
    </row>
  </sheetData>
  <mergeCells count="3">
    <mergeCell ref="A1:K1"/>
    <mergeCell ref="B2:C2"/>
    <mergeCell ref="B67:C67"/>
  </mergeCells>
  <hyperlinks>
    <hyperlink ref="K2" location="الاليات!A1" display="الاليات " xr:uid="{00000000-0004-0000-1800-000000000000}"/>
  </hyperlinks>
  <pageMargins left="0.7" right="0.7" top="0.75" bottom="0.75" header="0.3" footer="0.3"/>
  <pageSetup paperSize="9" scale="3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6.6640625" style="1" bestFit="1" customWidth="1"/>
    <col min="3" max="3" width="16" style="1" bestFit="1" customWidth="1"/>
    <col min="4" max="4" width="12.77734375" style="1" bestFit="1" customWidth="1"/>
    <col min="5" max="5" width="25.55468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23</v>
      </c>
      <c r="B2" s="202" t="s">
        <v>61</v>
      </c>
      <c r="C2" s="203"/>
      <c r="D2" s="138"/>
      <c r="E2" s="86" t="s">
        <v>8</v>
      </c>
      <c r="F2" s="87">
        <v>2013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859</v>
      </c>
      <c r="D3" s="35"/>
      <c r="E3" s="86" t="s">
        <v>68</v>
      </c>
      <c r="F3" s="140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81"/>
      <c r="K4" s="17"/>
    </row>
    <row r="5" spans="1:11">
      <c r="A5" s="35"/>
      <c r="B5" s="81" t="s">
        <v>855</v>
      </c>
      <c r="C5" s="35" t="s">
        <v>847</v>
      </c>
      <c r="D5" s="35"/>
      <c r="E5" s="86" t="s">
        <v>95</v>
      </c>
      <c r="F5" s="142"/>
      <c r="G5" s="92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4.799999999999997">
      <c r="A7" s="98">
        <v>1</v>
      </c>
      <c r="B7" s="98" t="s">
        <v>120</v>
      </c>
      <c r="C7" s="98"/>
      <c r="D7" s="135">
        <v>44934</v>
      </c>
      <c r="E7" s="99" t="s">
        <v>217</v>
      </c>
      <c r="F7" s="100">
        <v>19000</v>
      </c>
      <c r="G7" s="101"/>
      <c r="H7" s="98" t="s">
        <v>121</v>
      </c>
      <c r="I7" s="98"/>
      <c r="J7" s="102"/>
      <c r="K7" s="17"/>
    </row>
    <row r="8" spans="1:11">
      <c r="A8" s="98">
        <v>2</v>
      </c>
      <c r="B8" s="98" t="s">
        <v>120</v>
      </c>
      <c r="C8" s="98"/>
      <c r="D8" s="135">
        <v>44948</v>
      </c>
      <c r="E8" s="99" t="s">
        <v>216</v>
      </c>
      <c r="F8" s="100">
        <v>10000</v>
      </c>
      <c r="G8" s="101"/>
      <c r="H8" s="98" t="s">
        <v>165</v>
      </c>
      <c r="I8" s="98"/>
      <c r="J8" s="102"/>
      <c r="K8" s="17"/>
    </row>
    <row r="9" spans="1:11" ht="52.2">
      <c r="A9" s="98">
        <v>3</v>
      </c>
      <c r="B9" s="98" t="s">
        <v>120</v>
      </c>
      <c r="C9" s="98"/>
      <c r="D9" s="135">
        <v>44957</v>
      </c>
      <c r="E9" s="99" t="s">
        <v>215</v>
      </c>
      <c r="F9" s="100">
        <v>93000</v>
      </c>
      <c r="G9" s="101"/>
      <c r="H9" s="98" t="s">
        <v>121</v>
      </c>
      <c r="I9" s="98"/>
      <c r="J9" s="102"/>
      <c r="K9" s="17"/>
    </row>
    <row r="10" spans="1:11">
      <c r="A10" s="98">
        <v>4</v>
      </c>
      <c r="B10" s="98" t="s">
        <v>131</v>
      </c>
      <c r="C10" s="98"/>
      <c r="D10" s="135">
        <v>45048</v>
      </c>
      <c r="E10" s="99" t="s">
        <v>228</v>
      </c>
      <c r="F10" s="100">
        <v>20000</v>
      </c>
      <c r="G10" s="101"/>
      <c r="H10" s="98" t="s">
        <v>121</v>
      </c>
      <c r="I10" s="98"/>
      <c r="J10" s="102"/>
      <c r="K10" s="17"/>
    </row>
    <row r="11" spans="1:11">
      <c r="A11" s="98">
        <v>5</v>
      </c>
      <c r="B11" s="98" t="s">
        <v>120</v>
      </c>
      <c r="C11" s="98"/>
      <c r="D11" s="135">
        <v>45052</v>
      </c>
      <c r="E11" s="99" t="s">
        <v>227</v>
      </c>
      <c r="F11" s="100">
        <v>20000</v>
      </c>
      <c r="G11" s="101"/>
      <c r="H11" s="98" t="s">
        <v>121</v>
      </c>
      <c r="I11" s="98"/>
      <c r="J11" s="102"/>
      <c r="K11" s="17"/>
    </row>
    <row r="12" spans="1:11" ht="34.799999999999997">
      <c r="A12" s="98">
        <v>6</v>
      </c>
      <c r="B12" s="98" t="s">
        <v>120</v>
      </c>
      <c r="C12" s="98"/>
      <c r="D12" s="135">
        <v>45076</v>
      </c>
      <c r="E12" s="99" t="s">
        <v>226</v>
      </c>
      <c r="F12" s="100">
        <v>9000</v>
      </c>
      <c r="G12" s="101"/>
      <c r="H12" s="98" t="s">
        <v>121</v>
      </c>
      <c r="I12" s="98"/>
      <c r="J12" s="102"/>
      <c r="K12" s="17"/>
    </row>
    <row r="13" spans="1:11" ht="21.75" customHeight="1">
      <c r="A13" s="98">
        <v>7</v>
      </c>
      <c r="B13" s="98" t="s">
        <v>140</v>
      </c>
      <c r="C13" s="98"/>
      <c r="D13" s="135">
        <v>45092</v>
      </c>
      <c r="E13" s="99" t="s">
        <v>235</v>
      </c>
      <c r="F13" s="100">
        <v>95000</v>
      </c>
      <c r="G13" s="101"/>
      <c r="H13" s="98" t="s">
        <v>121</v>
      </c>
      <c r="I13" s="98"/>
      <c r="J13" s="102"/>
      <c r="K13" s="17"/>
    </row>
    <row r="14" spans="1:11">
      <c r="A14" s="98">
        <v>8</v>
      </c>
      <c r="B14" s="98" t="s">
        <v>140</v>
      </c>
      <c r="C14" s="98"/>
      <c r="D14" s="135">
        <v>45194</v>
      </c>
      <c r="E14" s="99" t="s">
        <v>245</v>
      </c>
      <c r="F14" s="100">
        <v>20000</v>
      </c>
      <c r="G14" s="101"/>
      <c r="H14" s="98" t="s">
        <v>121</v>
      </c>
      <c r="I14" s="98"/>
      <c r="J14" s="102"/>
      <c r="K14" s="17"/>
    </row>
    <row r="15" spans="1:11">
      <c r="A15" s="98">
        <v>9</v>
      </c>
      <c r="B15" s="98" t="s">
        <v>140</v>
      </c>
      <c r="C15" s="98"/>
      <c r="D15" s="135">
        <v>45203</v>
      </c>
      <c r="E15" s="99" t="s">
        <v>129</v>
      </c>
      <c r="F15" s="100">
        <v>80000</v>
      </c>
      <c r="G15" s="101"/>
      <c r="H15" s="98" t="s">
        <v>121</v>
      </c>
      <c r="I15" s="98"/>
      <c r="J15" s="102"/>
      <c r="K15" s="17"/>
    </row>
    <row r="16" spans="1:11" ht="52.2">
      <c r="A16" s="98">
        <v>10</v>
      </c>
      <c r="B16" s="98" t="s">
        <v>140</v>
      </c>
      <c r="C16" s="98"/>
      <c r="D16" s="135">
        <v>45225</v>
      </c>
      <c r="E16" s="99" t="s">
        <v>247</v>
      </c>
      <c r="F16" s="100">
        <v>143000</v>
      </c>
      <c r="G16" s="101"/>
      <c r="H16" s="98" t="s">
        <v>121</v>
      </c>
      <c r="I16" s="98"/>
      <c r="J16" s="102"/>
      <c r="K16" s="17"/>
    </row>
    <row r="17" spans="1:11" ht="34.799999999999997">
      <c r="A17" s="98">
        <v>11</v>
      </c>
      <c r="B17" s="98"/>
      <c r="C17" s="98"/>
      <c r="D17" s="135">
        <v>45242</v>
      </c>
      <c r="E17" s="99" t="s">
        <v>250</v>
      </c>
      <c r="F17" s="100">
        <v>100000</v>
      </c>
      <c r="G17" s="101"/>
      <c r="H17" s="98" t="s">
        <v>121</v>
      </c>
      <c r="I17" s="98"/>
      <c r="J17" s="102"/>
      <c r="K17" s="17"/>
    </row>
    <row r="18" spans="1:11" ht="139.19999999999999">
      <c r="A18" s="98">
        <v>12</v>
      </c>
      <c r="B18" s="98"/>
      <c r="C18" s="98">
        <v>5922</v>
      </c>
      <c r="D18" s="98" t="s">
        <v>391</v>
      </c>
      <c r="E18" s="99" t="s">
        <v>487</v>
      </c>
      <c r="F18" s="100">
        <v>3608000</v>
      </c>
      <c r="G18" s="101"/>
      <c r="H18" s="98" t="s">
        <v>75</v>
      </c>
      <c r="I18" s="98"/>
      <c r="J18" s="102"/>
      <c r="K18" s="17"/>
    </row>
    <row r="19" spans="1:11" ht="104.4">
      <c r="A19" s="98">
        <v>13</v>
      </c>
      <c r="B19" s="98"/>
      <c r="C19" s="98">
        <v>6145</v>
      </c>
      <c r="D19" s="135" t="s">
        <v>412</v>
      </c>
      <c r="E19" s="99" t="s">
        <v>488</v>
      </c>
      <c r="F19" s="100">
        <v>2623000</v>
      </c>
      <c r="G19" s="101"/>
      <c r="H19" s="98" t="s">
        <v>75</v>
      </c>
      <c r="I19" s="98"/>
      <c r="J19" s="102"/>
      <c r="K19" s="17"/>
    </row>
    <row r="20" spans="1:11">
      <c r="A20" s="98">
        <v>14</v>
      </c>
      <c r="B20" s="98"/>
      <c r="C20" s="98">
        <v>6263</v>
      </c>
      <c r="D20" s="135">
        <v>45325</v>
      </c>
      <c r="E20" s="99" t="s">
        <v>135</v>
      </c>
      <c r="F20" s="100">
        <v>420000</v>
      </c>
      <c r="G20" s="101"/>
      <c r="H20" s="98" t="s">
        <v>75</v>
      </c>
      <c r="I20" s="98"/>
      <c r="J20" s="102"/>
      <c r="K20" s="17"/>
    </row>
    <row r="21" spans="1:11">
      <c r="A21" s="98">
        <v>15</v>
      </c>
      <c r="B21" s="98"/>
      <c r="C21" s="98">
        <v>6758</v>
      </c>
      <c r="D21" s="98" t="s">
        <v>545</v>
      </c>
      <c r="E21" s="99" t="s">
        <v>546</v>
      </c>
      <c r="F21" s="100">
        <v>185000</v>
      </c>
      <c r="G21" s="101"/>
      <c r="H21" s="98" t="s">
        <v>75</v>
      </c>
      <c r="I21" s="98"/>
      <c r="J21" s="102"/>
      <c r="K21" s="17"/>
    </row>
    <row r="22" spans="1:11" ht="34.799999999999997">
      <c r="A22" s="98">
        <v>16</v>
      </c>
      <c r="B22" s="98"/>
      <c r="C22" s="98">
        <v>7829</v>
      </c>
      <c r="D22" s="135">
        <v>45696</v>
      </c>
      <c r="E22" s="99" t="s">
        <v>701</v>
      </c>
      <c r="F22" s="100">
        <v>295000</v>
      </c>
      <c r="G22" s="101"/>
      <c r="H22" s="98" t="s">
        <v>75</v>
      </c>
      <c r="I22" s="98"/>
      <c r="J22" s="102"/>
      <c r="K22" s="17"/>
    </row>
    <row r="23" spans="1:11">
      <c r="A23" s="98">
        <v>17</v>
      </c>
      <c r="B23" s="98"/>
      <c r="C23" s="18">
        <v>8981</v>
      </c>
      <c r="D23" s="133">
        <v>45813</v>
      </c>
      <c r="E23" s="18" t="s">
        <v>792</v>
      </c>
      <c r="F23" s="134">
        <v>25000</v>
      </c>
      <c r="G23" s="116"/>
      <c r="H23" s="17" t="s">
        <v>75</v>
      </c>
      <c r="I23" s="98"/>
      <c r="J23" s="102"/>
      <c r="K23" s="17"/>
    </row>
    <row r="24" spans="1:11">
      <c r="A24" s="98">
        <v>18</v>
      </c>
      <c r="B24" s="98"/>
      <c r="C24" s="98">
        <v>9539</v>
      </c>
      <c r="D24" s="135">
        <v>45890</v>
      </c>
      <c r="E24" s="99" t="s">
        <v>1004</v>
      </c>
      <c r="F24" s="100">
        <v>45000</v>
      </c>
      <c r="G24" s="101"/>
      <c r="H24" s="98" t="s">
        <v>75</v>
      </c>
      <c r="I24" s="98"/>
      <c r="J24" s="102"/>
      <c r="K24" s="17"/>
    </row>
    <row r="25" spans="1:11">
      <c r="A25" s="98">
        <v>19</v>
      </c>
      <c r="B25" s="98"/>
      <c r="C25" s="98">
        <v>9738</v>
      </c>
      <c r="D25" s="135">
        <v>45913</v>
      </c>
      <c r="E25" s="99" t="s">
        <v>1041</v>
      </c>
      <c r="F25" s="100">
        <v>200000</v>
      </c>
      <c r="G25" s="101"/>
      <c r="H25" s="98" t="s">
        <v>75</v>
      </c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31</v>
      </c>
      <c r="B37" s="98"/>
      <c r="C37" s="98"/>
      <c r="D37" s="98"/>
      <c r="E37" s="99"/>
      <c r="F37" s="100"/>
      <c r="G37" s="101"/>
      <c r="H37" s="98"/>
      <c r="I37" s="98"/>
      <c r="J37" s="102"/>
      <c r="K37" s="17"/>
    </row>
    <row r="38" spans="1:11">
      <c r="A38" s="98">
        <v>32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98">
        <v>33</v>
      </c>
      <c r="B39" s="98"/>
      <c r="C39" s="98"/>
      <c r="D39" s="98"/>
      <c r="E39" s="99"/>
      <c r="F39" s="100"/>
      <c r="G39" s="101"/>
      <c r="H39" s="98"/>
      <c r="I39" s="98"/>
      <c r="J39" s="102"/>
      <c r="K39" s="17"/>
    </row>
    <row r="40" spans="1:11">
      <c r="A40" s="98">
        <v>34</v>
      </c>
      <c r="B40" s="98"/>
      <c r="C40" s="98"/>
      <c r="D40" s="98"/>
      <c r="E40" s="99"/>
      <c r="F40" s="100"/>
      <c r="G40" s="101"/>
      <c r="H40" s="98"/>
      <c r="I40" s="98"/>
      <c r="J40" s="102"/>
      <c r="K40" s="17"/>
    </row>
    <row r="41" spans="1:11">
      <c r="A41" s="98">
        <v>35</v>
      </c>
      <c r="B41" s="98"/>
      <c r="C41" s="98"/>
      <c r="D41" s="98"/>
      <c r="E41" s="99"/>
      <c r="F41" s="100"/>
      <c r="G41" s="101"/>
      <c r="H41" s="98"/>
      <c r="I41" s="98"/>
      <c r="J41" s="102"/>
      <c r="K41" s="17"/>
    </row>
    <row r="42" spans="1:11">
      <c r="A42" s="98">
        <v>36</v>
      </c>
      <c r="B42" s="98"/>
      <c r="C42" s="98"/>
      <c r="D42" s="98"/>
      <c r="E42" s="99"/>
      <c r="F42" s="100"/>
      <c r="G42" s="101"/>
      <c r="H42" s="98"/>
      <c r="I42" s="98"/>
      <c r="J42" s="102"/>
      <c r="K42" s="17"/>
    </row>
    <row r="43" spans="1:11">
      <c r="A43" s="98">
        <v>37</v>
      </c>
      <c r="B43" s="98"/>
      <c r="C43" s="98"/>
      <c r="D43" s="98"/>
      <c r="E43" s="99"/>
      <c r="F43" s="100"/>
      <c r="G43" s="101"/>
      <c r="H43" s="98"/>
      <c r="I43" s="98"/>
      <c r="J43" s="102"/>
      <c r="K43" s="17"/>
    </row>
    <row r="44" spans="1:11">
      <c r="A44" s="98">
        <v>38</v>
      </c>
      <c r="B44" s="98"/>
      <c r="C44" s="98"/>
      <c r="D44" s="98"/>
      <c r="E44" s="99"/>
      <c r="F44" s="100"/>
      <c r="G44" s="101"/>
      <c r="H44" s="98"/>
      <c r="I44" s="98"/>
      <c r="J44" s="102"/>
      <c r="K44" s="17"/>
    </row>
    <row r="45" spans="1:11">
      <c r="A45" s="98">
        <v>39</v>
      </c>
      <c r="B45" s="98"/>
      <c r="C45" s="98"/>
      <c r="D45" s="98"/>
      <c r="E45" s="99"/>
      <c r="F45" s="100"/>
      <c r="G45" s="101"/>
      <c r="H45" s="98"/>
      <c r="I45" s="98"/>
      <c r="J45" s="102"/>
      <c r="K45" s="17"/>
    </row>
    <row r="46" spans="1:11">
      <c r="A46" s="98">
        <v>40</v>
      </c>
      <c r="B46" s="98"/>
      <c r="C46" s="98"/>
      <c r="D46" s="98"/>
      <c r="E46" s="99"/>
      <c r="F46" s="100"/>
      <c r="G46" s="101"/>
      <c r="H46" s="98"/>
      <c r="I46" s="98"/>
      <c r="J46" s="102"/>
      <c r="K46" s="17"/>
    </row>
    <row r="47" spans="1:11">
      <c r="A47" s="98">
        <v>41</v>
      </c>
      <c r="B47" s="98"/>
      <c r="C47" s="98"/>
      <c r="D47" s="98"/>
      <c r="E47" s="99"/>
      <c r="F47" s="100"/>
      <c r="G47" s="101"/>
      <c r="H47" s="98"/>
      <c r="I47" s="98"/>
      <c r="J47" s="102"/>
      <c r="K47" s="17"/>
    </row>
    <row r="48" spans="1:11">
      <c r="A48" s="98">
        <v>42</v>
      </c>
      <c r="B48" s="98"/>
      <c r="C48" s="98"/>
      <c r="D48" s="98"/>
      <c r="E48" s="99"/>
      <c r="F48" s="100"/>
      <c r="G48" s="101"/>
      <c r="H48" s="98"/>
      <c r="I48" s="98"/>
      <c r="J48" s="102"/>
      <c r="K48" s="17"/>
    </row>
    <row r="49" spans="1:11">
      <c r="A49" s="98">
        <v>43</v>
      </c>
      <c r="B49" s="98"/>
      <c r="C49" s="98"/>
      <c r="D49" s="98"/>
      <c r="E49" s="99"/>
      <c r="F49" s="100"/>
      <c r="G49" s="101"/>
      <c r="H49" s="98"/>
      <c r="I49" s="98"/>
      <c r="J49" s="102"/>
      <c r="K49" s="17"/>
    </row>
    <row r="50" spans="1:11">
      <c r="A50" s="98">
        <v>44</v>
      </c>
      <c r="B50" s="98"/>
      <c r="C50" s="98"/>
      <c r="D50" s="98"/>
      <c r="E50" s="99"/>
      <c r="F50" s="100"/>
      <c r="G50" s="101"/>
      <c r="H50" s="98"/>
      <c r="I50" s="98"/>
      <c r="J50" s="102"/>
      <c r="K50" s="17"/>
    </row>
    <row r="51" spans="1:11">
      <c r="A51" s="98">
        <v>45</v>
      </c>
      <c r="B51" s="98"/>
      <c r="C51" s="98"/>
      <c r="D51" s="98"/>
      <c r="E51" s="99"/>
      <c r="F51" s="100"/>
      <c r="G51" s="101"/>
      <c r="H51" s="98"/>
      <c r="I51" s="98"/>
      <c r="J51" s="102"/>
      <c r="K51" s="17"/>
    </row>
    <row r="52" spans="1:11">
      <c r="A52" s="98">
        <v>46</v>
      </c>
      <c r="B52" s="98"/>
      <c r="C52" s="98"/>
      <c r="D52" s="98"/>
      <c r="E52" s="99"/>
      <c r="F52" s="100"/>
      <c r="G52" s="101"/>
      <c r="H52" s="98"/>
      <c r="I52" s="98"/>
      <c r="J52" s="102"/>
      <c r="K52" s="17"/>
    </row>
    <row r="53" spans="1:11">
      <c r="A53" s="98">
        <v>47</v>
      </c>
      <c r="B53" s="98"/>
      <c r="C53" s="98"/>
      <c r="D53" s="98"/>
      <c r="E53" s="99"/>
      <c r="F53" s="100"/>
      <c r="G53" s="101"/>
      <c r="H53" s="98"/>
      <c r="I53" s="98"/>
      <c r="J53" s="102"/>
      <c r="K53" s="17"/>
    </row>
    <row r="54" spans="1:11">
      <c r="A54" s="98">
        <v>48</v>
      </c>
      <c r="B54" s="98"/>
      <c r="C54" s="98"/>
      <c r="D54" s="98"/>
      <c r="E54" s="99"/>
      <c r="F54" s="100"/>
      <c r="G54" s="101"/>
      <c r="H54" s="98"/>
      <c r="I54" s="98"/>
      <c r="J54" s="102"/>
      <c r="K54" s="17"/>
    </row>
    <row r="55" spans="1:11">
      <c r="A55" s="98">
        <v>49</v>
      </c>
      <c r="B55" s="98"/>
      <c r="C55" s="98"/>
      <c r="D55" s="98"/>
      <c r="E55" s="99"/>
      <c r="F55" s="100"/>
      <c r="G55" s="101"/>
      <c r="H55" s="98"/>
      <c r="I55" s="98"/>
      <c r="J55" s="102"/>
      <c r="K55" s="17"/>
    </row>
    <row r="56" spans="1:11">
      <c r="A56" s="98">
        <v>50</v>
      </c>
      <c r="B56" s="98"/>
      <c r="C56" s="98"/>
      <c r="D56" s="98"/>
      <c r="E56" s="99"/>
      <c r="F56" s="100"/>
      <c r="G56" s="101"/>
      <c r="H56" s="98"/>
      <c r="I56" s="98"/>
      <c r="J56" s="102"/>
      <c r="K56" s="17"/>
    </row>
    <row r="57" spans="1:11">
      <c r="A57" s="98">
        <v>51</v>
      </c>
      <c r="B57" s="98"/>
      <c r="C57" s="98"/>
      <c r="D57" s="98"/>
      <c r="E57" s="99"/>
      <c r="F57" s="100"/>
      <c r="G57" s="101"/>
      <c r="H57" s="98"/>
      <c r="I57" s="98"/>
      <c r="J57" s="102"/>
      <c r="K57" s="17"/>
    </row>
    <row r="58" spans="1:11">
      <c r="A58" s="98">
        <v>52</v>
      </c>
      <c r="B58" s="98"/>
      <c r="C58" s="98"/>
      <c r="D58" s="98"/>
      <c r="E58" s="99"/>
      <c r="F58" s="100"/>
      <c r="G58" s="101"/>
      <c r="H58" s="98"/>
      <c r="I58" s="98"/>
      <c r="J58" s="102"/>
      <c r="K58" s="17"/>
    </row>
    <row r="59" spans="1:11">
      <c r="A59" s="98">
        <v>53</v>
      </c>
      <c r="B59" s="98"/>
      <c r="C59" s="98"/>
      <c r="D59" s="98"/>
      <c r="E59" s="99"/>
      <c r="F59" s="100"/>
      <c r="G59" s="101"/>
      <c r="H59" s="98"/>
      <c r="I59" s="98"/>
      <c r="J59" s="102"/>
      <c r="K59" s="17"/>
    </row>
    <row r="60" spans="1:11">
      <c r="A60" s="98">
        <v>54</v>
      </c>
      <c r="B60" s="98"/>
      <c r="C60" s="98"/>
      <c r="D60" s="98"/>
      <c r="E60" s="99"/>
      <c r="F60" s="100"/>
      <c r="G60" s="101"/>
      <c r="H60" s="98"/>
      <c r="I60" s="98"/>
      <c r="J60" s="102"/>
      <c r="K60" s="17"/>
    </row>
    <row r="61" spans="1:11">
      <c r="A61" s="98">
        <v>55</v>
      </c>
      <c r="B61" s="98"/>
      <c r="C61" s="98"/>
      <c r="D61" s="98"/>
      <c r="E61" s="99"/>
      <c r="F61" s="100"/>
      <c r="G61" s="101"/>
      <c r="H61" s="98"/>
      <c r="I61" s="98"/>
      <c r="J61" s="102"/>
      <c r="K61" s="17"/>
    </row>
    <row r="62" spans="1:11">
      <c r="A62" s="98">
        <v>56</v>
      </c>
      <c r="B62" s="98"/>
      <c r="C62" s="98"/>
      <c r="D62" s="98"/>
      <c r="E62" s="99"/>
      <c r="F62" s="100"/>
      <c r="G62" s="101"/>
      <c r="H62" s="98"/>
      <c r="I62" s="98"/>
      <c r="J62" s="102"/>
      <c r="K62" s="17"/>
    </row>
    <row r="63" spans="1:11">
      <c r="A63" s="98">
        <v>57</v>
      </c>
      <c r="B63" s="98"/>
      <c r="C63" s="98"/>
      <c r="D63" s="98"/>
      <c r="E63" s="99"/>
      <c r="F63" s="100"/>
      <c r="G63" s="101"/>
      <c r="H63" s="98"/>
      <c r="I63" s="98"/>
      <c r="J63" s="102"/>
      <c r="K63" s="17"/>
    </row>
    <row r="64" spans="1:11">
      <c r="A64" s="98">
        <v>58</v>
      </c>
      <c r="B64" s="98"/>
      <c r="C64" s="98"/>
      <c r="D64" s="98"/>
      <c r="E64" s="99"/>
      <c r="F64" s="100"/>
      <c r="G64" s="101"/>
      <c r="H64" s="98"/>
      <c r="I64" s="98"/>
      <c r="J64" s="102"/>
      <c r="K64" s="17"/>
    </row>
    <row r="65" spans="1:11">
      <c r="A65" s="98">
        <v>59</v>
      </c>
      <c r="B65" s="98"/>
      <c r="C65" s="98"/>
      <c r="D65" s="98"/>
      <c r="E65" s="99"/>
      <c r="F65" s="100"/>
      <c r="G65" s="101"/>
      <c r="H65" s="98"/>
      <c r="I65" s="98"/>
      <c r="J65" s="102"/>
      <c r="K65" s="17"/>
    </row>
    <row r="66" spans="1:11">
      <c r="A66" s="98">
        <v>60</v>
      </c>
      <c r="B66" s="98"/>
      <c r="C66" s="98"/>
      <c r="D66" s="98"/>
      <c r="E66" s="99"/>
      <c r="F66" s="100"/>
      <c r="G66" s="101"/>
      <c r="H66" s="98"/>
      <c r="I66" s="98"/>
      <c r="J66" s="102"/>
      <c r="K66" s="17"/>
    </row>
    <row r="67" spans="1:11">
      <c r="A67" s="98">
        <v>61</v>
      </c>
      <c r="B67" s="98"/>
      <c r="C67" s="98"/>
      <c r="D67" s="98"/>
      <c r="E67" s="99"/>
      <c r="F67" s="100"/>
      <c r="G67" s="101"/>
      <c r="H67" s="98"/>
      <c r="I67" s="98"/>
      <c r="J67" s="102"/>
      <c r="K67" s="17"/>
    </row>
    <row r="68" spans="1:11">
      <c r="A68" s="98">
        <v>62</v>
      </c>
      <c r="B68" s="98"/>
      <c r="C68" s="98"/>
      <c r="D68" s="98"/>
      <c r="E68" s="99"/>
      <c r="F68" s="100"/>
      <c r="G68" s="101"/>
      <c r="H68" s="98"/>
      <c r="I68" s="98"/>
      <c r="J68" s="102"/>
      <c r="K68" s="17"/>
    </row>
    <row r="69" spans="1:11">
      <c r="A69" s="98">
        <v>63</v>
      </c>
      <c r="B69" s="98"/>
      <c r="C69" s="98"/>
      <c r="D69" s="98"/>
      <c r="E69" s="99"/>
      <c r="F69" s="100"/>
      <c r="G69" s="101"/>
      <c r="H69" s="98"/>
      <c r="I69" s="98"/>
      <c r="J69" s="102"/>
      <c r="K69" s="17"/>
    </row>
    <row r="70" spans="1:11">
      <c r="A70" s="98">
        <v>64</v>
      </c>
      <c r="B70" s="98"/>
      <c r="C70" s="98"/>
      <c r="D70" s="98"/>
      <c r="E70" s="99"/>
      <c r="F70" s="100"/>
      <c r="G70" s="101"/>
      <c r="H70" s="98"/>
      <c r="I70" s="98"/>
      <c r="J70" s="102"/>
      <c r="K70" s="17"/>
    </row>
    <row r="71" spans="1:11">
      <c r="A71" s="98">
        <v>65</v>
      </c>
      <c r="B71" s="17"/>
      <c r="C71" s="17"/>
      <c r="D71" s="17"/>
      <c r="E71" s="18"/>
      <c r="F71" s="132"/>
      <c r="G71" s="25"/>
      <c r="H71" s="17"/>
      <c r="I71" s="17"/>
      <c r="J71" s="117"/>
      <c r="K71" s="17"/>
    </row>
    <row r="72" spans="1:11">
      <c r="A72" s="98">
        <v>66</v>
      </c>
      <c r="B72" s="17"/>
      <c r="C72" s="17"/>
      <c r="D72" s="17"/>
      <c r="E72" s="18"/>
      <c r="F72" s="132"/>
      <c r="G72" s="25"/>
      <c r="H72" s="17"/>
      <c r="I72" s="17"/>
      <c r="J72" s="117"/>
      <c r="K72" s="17"/>
    </row>
    <row r="73" spans="1:11">
      <c r="A73" s="98">
        <v>67</v>
      </c>
      <c r="B73" s="17"/>
      <c r="C73" s="17"/>
      <c r="D73" s="17"/>
      <c r="E73" s="18"/>
      <c r="F73" s="132"/>
      <c r="G73" s="25"/>
      <c r="H73" s="17"/>
      <c r="I73" s="17"/>
      <c r="J73" s="117"/>
      <c r="K73" s="17"/>
    </row>
    <row r="74" spans="1:11">
      <c r="A74" s="98">
        <v>68</v>
      </c>
      <c r="B74" s="17"/>
      <c r="C74" s="17"/>
      <c r="D74" s="17"/>
      <c r="E74" s="18"/>
      <c r="F74" s="132"/>
      <c r="G74" s="25"/>
      <c r="H74" s="17"/>
      <c r="I74" s="17"/>
      <c r="J74" s="117"/>
      <c r="K74" s="17"/>
    </row>
    <row r="75" spans="1:11">
      <c r="A75" s="98">
        <v>69</v>
      </c>
      <c r="B75" s="17"/>
      <c r="C75" s="17"/>
      <c r="D75" s="17"/>
      <c r="E75" s="18"/>
      <c r="F75" s="132"/>
      <c r="G75" s="25"/>
      <c r="H75" s="17"/>
      <c r="I75" s="17"/>
      <c r="J75" s="117"/>
      <c r="K75" s="17"/>
    </row>
    <row r="76" spans="1:11">
      <c r="A76" s="98">
        <v>70</v>
      </c>
      <c r="B76" s="17"/>
      <c r="C76" s="17"/>
      <c r="D76" s="17"/>
      <c r="E76" s="18"/>
      <c r="F76" s="132"/>
      <c r="G76" s="25"/>
      <c r="H76" s="17"/>
      <c r="I76" s="17"/>
      <c r="J76" s="117"/>
      <c r="K76" s="17"/>
    </row>
    <row r="77" spans="1:11">
      <c r="A77" s="98">
        <v>71</v>
      </c>
      <c r="B77" s="17"/>
      <c r="C77" s="17"/>
      <c r="D77" s="17"/>
      <c r="E77" s="18"/>
      <c r="F77" s="132"/>
      <c r="G77" s="25"/>
      <c r="H77" s="17"/>
      <c r="I77" s="17"/>
      <c r="J77" s="117"/>
      <c r="K77" s="17"/>
    </row>
    <row r="78" spans="1:11">
      <c r="A78" s="98">
        <v>72</v>
      </c>
      <c r="B78" s="17"/>
      <c r="C78" s="17"/>
      <c r="D78" s="17"/>
      <c r="E78" s="18"/>
      <c r="F78" s="132"/>
      <c r="G78" s="25"/>
      <c r="H78" s="17"/>
      <c r="I78" s="17"/>
      <c r="J78" s="117"/>
      <c r="K78" s="17"/>
    </row>
    <row r="79" spans="1:11">
      <c r="A79" s="108"/>
      <c r="B79" s="204" t="s">
        <v>98</v>
      </c>
      <c r="C79" s="204"/>
      <c r="D79" s="108"/>
      <c r="E79" s="118"/>
      <c r="F79" s="119">
        <f>SUM(F7:F78)</f>
        <v>8010000</v>
      </c>
      <c r="G79" s="120">
        <f>SUM(G7:G78)</f>
        <v>0</v>
      </c>
      <c r="H79" s="108"/>
      <c r="I79" s="108"/>
      <c r="J79" s="121"/>
      <c r="K79" s="108"/>
    </row>
    <row r="80" spans="1:11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79:C79"/>
  </mergeCells>
  <hyperlinks>
    <hyperlink ref="K2" location="الاليات!A1" display="الاليات " xr:uid="{00000000-0004-0000-1900-000000000000}"/>
  </hyperlinks>
  <pageMargins left="0.7" right="0.7" top="0.75" bottom="0.75" header="0.3" footer="0.3"/>
  <pageSetup paperSize="9" scale="27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K118"/>
  <sheetViews>
    <sheetView rightToLeft="1" view="pageBreakPreview" zoomScaleNormal="100" zoomScaleSheetLayoutView="100" workbookViewId="0">
      <selection activeCell="K2" sqref="K2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3" width="14.109375" style="1" bestFit="1" customWidth="1"/>
    <col min="4" max="4" width="12.77734375" style="1" bestFit="1" customWidth="1"/>
    <col min="5" max="5" width="18.777343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24</v>
      </c>
      <c r="B2" s="202" t="s">
        <v>61</v>
      </c>
      <c r="C2" s="203"/>
      <c r="D2" s="85"/>
      <c r="E2" s="86" t="s">
        <v>8</v>
      </c>
      <c r="F2" s="87">
        <v>2013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860</v>
      </c>
      <c r="D3" s="89"/>
      <c r="E3" s="86" t="s">
        <v>68</v>
      </c>
      <c r="F3" s="87" t="s">
        <v>76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 t="s">
        <v>95</v>
      </c>
      <c r="F5" s="93"/>
      <c r="G5" s="92"/>
      <c r="H5" s="81" t="s">
        <v>96</v>
      </c>
      <c r="I5" s="23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52.2">
      <c r="A7" s="98">
        <v>1</v>
      </c>
      <c r="B7" s="98" t="s">
        <v>140</v>
      </c>
      <c r="C7" s="98"/>
      <c r="D7" s="135">
        <v>45049</v>
      </c>
      <c r="E7" s="99" t="s">
        <v>230</v>
      </c>
      <c r="F7" s="100">
        <v>290000</v>
      </c>
      <c r="G7" s="101"/>
      <c r="H7" s="98" t="s">
        <v>121</v>
      </c>
      <c r="I7" s="98"/>
      <c r="J7" s="102"/>
      <c r="K7" s="17"/>
    </row>
    <row r="8" spans="1:11">
      <c r="A8" s="98">
        <v>2</v>
      </c>
      <c r="B8" s="98" t="s">
        <v>140</v>
      </c>
      <c r="C8" s="98"/>
      <c r="D8" s="135">
        <v>45074</v>
      </c>
      <c r="E8" s="99" t="s">
        <v>229</v>
      </c>
      <c r="F8" s="100">
        <v>35000</v>
      </c>
      <c r="G8" s="101"/>
      <c r="H8" s="98" t="s">
        <v>121</v>
      </c>
      <c r="I8" s="98"/>
      <c r="J8" s="102"/>
      <c r="K8" s="17"/>
    </row>
    <row r="9" spans="1:11" ht="52.2">
      <c r="A9" s="98">
        <v>3</v>
      </c>
      <c r="B9" s="98" t="s">
        <v>140</v>
      </c>
      <c r="C9" s="98"/>
      <c r="D9" s="135">
        <v>45081</v>
      </c>
      <c r="E9" s="99" t="s">
        <v>238</v>
      </c>
      <c r="F9" s="100">
        <v>55000</v>
      </c>
      <c r="G9" s="101"/>
      <c r="H9" s="98" t="s">
        <v>121</v>
      </c>
      <c r="I9" s="98"/>
      <c r="J9" s="102"/>
      <c r="K9" s="17"/>
    </row>
    <row r="10" spans="1:11" ht="34.799999999999997">
      <c r="A10" s="98">
        <v>4</v>
      </c>
      <c r="B10" s="98" t="s">
        <v>140</v>
      </c>
      <c r="C10" s="98"/>
      <c r="D10" s="135">
        <v>45081</v>
      </c>
      <c r="E10" s="99" t="s">
        <v>237</v>
      </c>
      <c r="F10" s="100">
        <v>50000</v>
      </c>
      <c r="G10" s="101"/>
      <c r="H10" s="98" t="s">
        <v>121</v>
      </c>
      <c r="I10" s="98"/>
      <c r="J10" s="102"/>
      <c r="K10" s="17"/>
    </row>
    <row r="11" spans="1:11" ht="34.799999999999997">
      <c r="A11" s="98">
        <v>5</v>
      </c>
      <c r="B11" s="98" t="s">
        <v>140</v>
      </c>
      <c r="C11" s="98"/>
      <c r="D11" s="135">
        <v>45088</v>
      </c>
      <c r="E11" s="99" t="s">
        <v>236</v>
      </c>
      <c r="F11" s="100">
        <v>120000</v>
      </c>
      <c r="G11" s="101"/>
      <c r="H11" s="98" t="s">
        <v>121</v>
      </c>
      <c r="I11" s="98"/>
      <c r="J11" s="102"/>
      <c r="K11" s="17"/>
    </row>
    <row r="12" spans="1:11">
      <c r="A12" s="98">
        <v>6</v>
      </c>
      <c r="B12" s="98" t="s">
        <v>140</v>
      </c>
      <c r="C12" s="98"/>
      <c r="D12" s="135">
        <v>45203</v>
      </c>
      <c r="E12" s="99" t="s">
        <v>249</v>
      </c>
      <c r="F12" s="100">
        <v>130000</v>
      </c>
      <c r="G12" s="101"/>
      <c r="H12" s="98" t="s">
        <v>121</v>
      </c>
      <c r="I12" s="98"/>
      <c r="J12" s="102"/>
      <c r="K12" s="17"/>
    </row>
    <row r="13" spans="1:11">
      <c r="A13" s="98">
        <v>7</v>
      </c>
      <c r="B13" s="98" t="s">
        <v>140</v>
      </c>
      <c r="C13" s="98"/>
      <c r="D13" s="135">
        <v>45223</v>
      </c>
      <c r="E13" s="99" t="s">
        <v>248</v>
      </c>
      <c r="F13" s="100">
        <v>194000</v>
      </c>
      <c r="G13" s="101"/>
      <c r="H13" s="98" t="s">
        <v>121</v>
      </c>
      <c r="I13" s="98"/>
      <c r="J13" s="102"/>
      <c r="K13" s="17"/>
    </row>
    <row r="14" spans="1:11">
      <c r="A14" s="98">
        <v>8</v>
      </c>
      <c r="B14" s="98" t="s">
        <v>121</v>
      </c>
      <c r="C14" s="98"/>
      <c r="D14" s="135">
        <v>45276</v>
      </c>
      <c r="E14" s="99" t="s">
        <v>251</v>
      </c>
      <c r="F14" s="100">
        <v>40000</v>
      </c>
      <c r="G14" s="101"/>
      <c r="H14" s="98" t="s">
        <v>121</v>
      </c>
      <c r="I14" s="98"/>
      <c r="J14" s="102"/>
      <c r="K14" s="17"/>
    </row>
    <row r="15" spans="1:11">
      <c r="A15" s="98">
        <v>9</v>
      </c>
      <c r="B15" s="98"/>
      <c r="C15" s="98">
        <v>4984</v>
      </c>
      <c r="D15" s="98" t="s">
        <v>302</v>
      </c>
      <c r="E15" s="99" t="s">
        <v>135</v>
      </c>
      <c r="F15" s="100">
        <v>245000</v>
      </c>
      <c r="G15" s="101"/>
      <c r="H15" s="98" t="s">
        <v>75</v>
      </c>
      <c r="I15" s="98"/>
      <c r="J15" s="102"/>
      <c r="K15" s="17"/>
    </row>
    <row r="16" spans="1:11">
      <c r="A16" s="98">
        <v>10</v>
      </c>
      <c r="B16" s="98"/>
      <c r="C16" s="98">
        <v>5365</v>
      </c>
      <c r="D16" s="135">
        <v>45268</v>
      </c>
      <c r="E16" s="99" t="s">
        <v>135</v>
      </c>
      <c r="F16" s="100"/>
      <c r="G16" s="101">
        <v>780</v>
      </c>
      <c r="H16" s="98" t="s">
        <v>75</v>
      </c>
      <c r="I16" s="98"/>
      <c r="J16" s="102"/>
      <c r="K16" s="17"/>
    </row>
    <row r="17" spans="1:11">
      <c r="A17" s="98">
        <v>11</v>
      </c>
      <c r="B17" s="98"/>
      <c r="C17" s="98">
        <v>5365</v>
      </c>
      <c r="D17" s="135">
        <v>45268</v>
      </c>
      <c r="E17" s="99" t="s">
        <v>135</v>
      </c>
      <c r="F17" s="100">
        <v>363000</v>
      </c>
      <c r="G17" s="101"/>
      <c r="H17" s="98" t="s">
        <v>75</v>
      </c>
      <c r="I17" s="98"/>
      <c r="J17" s="102"/>
      <c r="K17" s="17"/>
    </row>
    <row r="18" spans="1:11">
      <c r="A18" s="98">
        <v>12</v>
      </c>
      <c r="B18" s="98"/>
      <c r="C18" s="17">
        <v>7272</v>
      </c>
      <c r="D18" s="130">
        <v>45599</v>
      </c>
      <c r="E18" s="131" t="s">
        <v>259</v>
      </c>
      <c r="F18" s="132">
        <v>190000</v>
      </c>
      <c r="G18" s="116"/>
      <c r="H18" s="17" t="s">
        <v>75</v>
      </c>
      <c r="I18" s="98"/>
      <c r="J18" s="102"/>
      <c r="K18" s="17"/>
    </row>
    <row r="19" spans="1:11">
      <c r="A19" s="98">
        <v>13</v>
      </c>
      <c r="B19" s="98"/>
      <c r="C19" s="17">
        <v>8850</v>
      </c>
      <c r="D19" s="130">
        <v>45798</v>
      </c>
      <c r="E19" s="18" t="s">
        <v>618</v>
      </c>
      <c r="F19" s="132">
        <v>270000</v>
      </c>
      <c r="G19" s="25"/>
      <c r="H19" s="98" t="s">
        <v>75</v>
      </c>
      <c r="I19" s="98"/>
      <c r="J19" s="102"/>
      <c r="K19" s="17"/>
    </row>
    <row r="20" spans="1:11">
      <c r="A20" s="98">
        <v>14</v>
      </c>
      <c r="B20" s="98"/>
      <c r="C20" s="17">
        <v>1428</v>
      </c>
      <c r="D20" s="17" t="s">
        <v>1286</v>
      </c>
      <c r="E20" s="18" t="s">
        <v>1289</v>
      </c>
      <c r="F20" s="132">
        <v>100000</v>
      </c>
      <c r="G20" s="25"/>
      <c r="H20" s="17" t="s">
        <v>75</v>
      </c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31</v>
      </c>
      <c r="B37" s="98"/>
      <c r="C37" s="98"/>
      <c r="D37" s="98"/>
      <c r="E37" s="99"/>
      <c r="F37" s="100"/>
      <c r="G37" s="101"/>
      <c r="H37" s="98"/>
      <c r="I37" s="98"/>
      <c r="J37" s="102"/>
      <c r="K37" s="17"/>
    </row>
    <row r="38" spans="1:11">
      <c r="A38" s="98">
        <v>32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98">
        <v>33</v>
      </c>
      <c r="B39" s="98"/>
      <c r="C39" s="98"/>
      <c r="D39" s="98"/>
      <c r="E39" s="99"/>
      <c r="F39" s="100"/>
      <c r="G39" s="101"/>
      <c r="H39" s="98"/>
      <c r="I39" s="98"/>
      <c r="J39" s="102"/>
      <c r="K39" s="17"/>
    </row>
    <row r="40" spans="1:11">
      <c r="A40" s="98">
        <v>34</v>
      </c>
      <c r="B40" s="98"/>
      <c r="C40" s="98"/>
      <c r="D40" s="98"/>
      <c r="E40" s="99"/>
      <c r="F40" s="100"/>
      <c r="G40" s="101"/>
      <c r="H40" s="98"/>
      <c r="I40" s="98"/>
      <c r="J40" s="102"/>
      <c r="K40" s="17"/>
    </row>
    <row r="41" spans="1:11">
      <c r="A41" s="98">
        <v>35</v>
      </c>
      <c r="B41" s="98"/>
      <c r="C41" s="98"/>
      <c r="D41" s="98"/>
      <c r="E41" s="99"/>
      <c r="F41" s="100"/>
      <c r="G41" s="101"/>
      <c r="H41" s="98"/>
      <c r="I41" s="98"/>
      <c r="J41" s="102"/>
      <c r="K41" s="17"/>
    </row>
    <row r="42" spans="1:11">
      <c r="A42" s="98">
        <v>36</v>
      </c>
      <c r="B42" s="98"/>
      <c r="C42" s="98"/>
      <c r="D42" s="98"/>
      <c r="E42" s="99"/>
      <c r="F42" s="100"/>
      <c r="G42" s="101"/>
      <c r="H42" s="98"/>
      <c r="I42" s="98"/>
      <c r="J42" s="102"/>
      <c r="K42" s="17"/>
    </row>
    <row r="43" spans="1:11">
      <c r="A43" s="98">
        <v>37</v>
      </c>
      <c r="B43" s="98"/>
      <c r="C43" s="98"/>
      <c r="D43" s="98"/>
      <c r="E43" s="99"/>
      <c r="F43" s="100"/>
      <c r="G43" s="101"/>
      <c r="H43" s="98"/>
      <c r="I43" s="98"/>
      <c r="J43" s="102"/>
      <c r="K43" s="17"/>
    </row>
    <row r="44" spans="1:11">
      <c r="A44" s="98">
        <v>38</v>
      </c>
      <c r="B44" s="98"/>
      <c r="C44" s="98"/>
      <c r="D44" s="98"/>
      <c r="E44" s="99"/>
      <c r="F44" s="100"/>
      <c r="G44" s="101"/>
      <c r="H44" s="98"/>
      <c r="I44" s="98"/>
      <c r="J44" s="102"/>
      <c r="K44" s="17"/>
    </row>
    <row r="45" spans="1:11">
      <c r="A45" s="98">
        <v>39</v>
      </c>
      <c r="B45" s="98"/>
      <c r="C45" s="98"/>
      <c r="D45" s="98"/>
      <c r="E45" s="99"/>
      <c r="F45" s="100"/>
      <c r="G45" s="101"/>
      <c r="H45" s="98"/>
      <c r="I45" s="98"/>
      <c r="J45" s="102"/>
      <c r="K45" s="17"/>
    </row>
    <row r="46" spans="1:11">
      <c r="A46" s="98">
        <v>40</v>
      </c>
      <c r="B46" s="98"/>
      <c r="C46" s="98"/>
      <c r="D46" s="98"/>
      <c r="E46" s="99"/>
      <c r="F46" s="100"/>
      <c r="G46" s="101"/>
      <c r="H46" s="98"/>
      <c r="I46" s="98"/>
      <c r="J46" s="102"/>
      <c r="K46" s="17"/>
    </row>
    <row r="47" spans="1:11">
      <c r="A47" s="98">
        <v>41</v>
      </c>
      <c r="B47" s="98"/>
      <c r="C47" s="98"/>
      <c r="D47" s="98"/>
      <c r="E47" s="99"/>
      <c r="F47" s="100"/>
      <c r="G47" s="101"/>
      <c r="H47" s="98"/>
      <c r="I47" s="98"/>
      <c r="J47" s="102"/>
      <c r="K47" s="17"/>
    </row>
    <row r="48" spans="1:11">
      <c r="A48" s="98">
        <v>42</v>
      </c>
      <c r="B48" s="98"/>
      <c r="C48" s="98"/>
      <c r="D48" s="98"/>
      <c r="E48" s="99"/>
      <c r="F48" s="100"/>
      <c r="G48" s="101"/>
      <c r="H48" s="98"/>
      <c r="I48" s="98"/>
      <c r="J48" s="102"/>
      <c r="K48" s="17"/>
    </row>
    <row r="49" spans="1:11">
      <c r="A49" s="103"/>
      <c r="B49" s="206" t="s">
        <v>98</v>
      </c>
      <c r="C49" s="206"/>
      <c r="D49" s="103"/>
      <c r="E49" s="104"/>
      <c r="F49" s="105">
        <f>SUM(F7:F48)</f>
        <v>2082000</v>
      </c>
      <c r="G49" s="106">
        <f>SUM(G7:G48)</f>
        <v>780</v>
      </c>
      <c r="H49" s="103"/>
      <c r="I49" s="103"/>
      <c r="J49" s="107"/>
      <c r="K49" s="108"/>
    </row>
    <row r="50" spans="1:11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1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1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1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1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1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1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1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1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1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1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1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1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1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1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0">
      <c r="J73" s="115"/>
    </row>
    <row r="74" spans="1:10">
      <c r="J74" s="115"/>
    </row>
    <row r="75" spans="1:10">
      <c r="J75" s="115"/>
    </row>
    <row r="76" spans="1:10">
      <c r="J76" s="115"/>
    </row>
    <row r="77" spans="1:10">
      <c r="J77" s="115"/>
    </row>
    <row r="78" spans="1:10">
      <c r="J78" s="115"/>
    </row>
    <row r="79" spans="1:10">
      <c r="J79" s="115"/>
    </row>
    <row r="80" spans="1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49:C49"/>
  </mergeCells>
  <hyperlinks>
    <hyperlink ref="K2" location="الاليات!A1" display="الاليات " xr:uid="{00000000-0004-0000-1A00-000000000000}"/>
  </hyperlinks>
  <pageMargins left="0.7" right="0.7" top="0.75" bottom="0.75" header="0.3" footer="0.3"/>
  <pageSetup paperSize="9" scale="4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4.6640625" style="1" bestFit="1" customWidth="1"/>
    <col min="4" max="4" width="12.77734375" style="1" bestFit="1" customWidth="1"/>
    <col min="5" max="5" width="13.88671875" style="73" bestFit="1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25</v>
      </c>
      <c r="B2" s="202" t="s">
        <v>60</v>
      </c>
      <c r="C2" s="203"/>
      <c r="D2" s="85"/>
      <c r="E2" s="86" t="s">
        <v>8</v>
      </c>
      <c r="F2" s="87">
        <v>2012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861</v>
      </c>
      <c r="D3" s="89"/>
      <c r="E3" s="86" t="s">
        <v>68</v>
      </c>
      <c r="F3" s="91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81" t="s">
        <v>855</v>
      </c>
      <c r="C5" s="89" t="s">
        <v>847</v>
      </c>
      <c r="D5" s="89"/>
      <c r="E5" s="86" t="s">
        <v>95</v>
      </c>
      <c r="F5" s="93"/>
      <c r="G5" s="81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4.799999999999997">
      <c r="A7" s="98">
        <v>1</v>
      </c>
      <c r="B7" s="184" t="s">
        <v>192</v>
      </c>
      <c r="C7" s="184"/>
      <c r="D7" s="185">
        <v>45272</v>
      </c>
      <c r="E7" s="186" t="s">
        <v>254</v>
      </c>
      <c r="F7" s="187">
        <v>37000</v>
      </c>
      <c r="G7" s="188"/>
      <c r="H7" s="184" t="s">
        <v>121</v>
      </c>
      <c r="I7" s="98"/>
      <c r="J7" s="102"/>
      <c r="K7" s="17"/>
    </row>
    <row r="8" spans="1:11">
      <c r="A8" s="98">
        <v>2</v>
      </c>
      <c r="B8" s="98"/>
      <c r="C8" s="98" t="s">
        <v>272</v>
      </c>
      <c r="D8" s="98" t="s">
        <v>273</v>
      </c>
      <c r="E8" s="99" t="s">
        <v>274</v>
      </c>
      <c r="F8" s="100">
        <v>75000</v>
      </c>
      <c r="G8" s="127"/>
      <c r="H8" s="98"/>
      <c r="I8" s="98"/>
      <c r="J8" s="102"/>
      <c r="K8" s="17"/>
    </row>
    <row r="9" spans="1:11">
      <c r="A9" s="98">
        <v>3</v>
      </c>
      <c r="B9" s="98"/>
      <c r="C9" s="98">
        <v>5075</v>
      </c>
      <c r="D9" s="135">
        <v>45266</v>
      </c>
      <c r="E9" s="99" t="s">
        <v>190</v>
      </c>
      <c r="F9" s="100">
        <v>673000</v>
      </c>
      <c r="G9" s="127"/>
      <c r="H9" s="98" t="s">
        <v>278</v>
      </c>
      <c r="I9" s="98"/>
      <c r="J9" s="102"/>
      <c r="K9" s="17"/>
    </row>
    <row r="10" spans="1:11">
      <c r="A10" s="98">
        <v>4</v>
      </c>
      <c r="B10" s="98"/>
      <c r="C10" s="99" t="s">
        <v>325</v>
      </c>
      <c r="D10" s="136">
        <v>45023</v>
      </c>
      <c r="E10" s="99" t="s">
        <v>327</v>
      </c>
      <c r="F10" s="137">
        <v>730000</v>
      </c>
      <c r="G10" s="127"/>
      <c r="H10" s="98"/>
      <c r="I10" s="98"/>
      <c r="J10" s="102"/>
      <c r="K10" s="17"/>
    </row>
    <row r="11" spans="1:11">
      <c r="A11" s="98">
        <v>5</v>
      </c>
      <c r="B11" s="98"/>
      <c r="C11" s="99" t="s">
        <v>330</v>
      </c>
      <c r="D11" s="136" t="s">
        <v>329</v>
      </c>
      <c r="E11" s="99" t="s">
        <v>331</v>
      </c>
      <c r="F11" s="100">
        <v>132000</v>
      </c>
      <c r="G11" s="127"/>
      <c r="H11" s="98"/>
      <c r="I11" s="98"/>
      <c r="J11" s="102"/>
      <c r="K11" s="17"/>
    </row>
    <row r="12" spans="1:11">
      <c r="A12" s="98">
        <v>6</v>
      </c>
      <c r="B12" s="98"/>
      <c r="C12" s="98">
        <v>6263</v>
      </c>
      <c r="D12" s="135">
        <v>45325</v>
      </c>
      <c r="E12" s="99" t="s">
        <v>429</v>
      </c>
      <c r="F12" s="100">
        <v>3095000</v>
      </c>
      <c r="G12" s="127"/>
      <c r="H12" s="98" t="s">
        <v>75</v>
      </c>
      <c r="I12" s="98"/>
      <c r="J12" s="102"/>
      <c r="K12" s="17"/>
    </row>
    <row r="13" spans="1:11">
      <c r="A13" s="98">
        <v>7</v>
      </c>
      <c r="B13" s="98"/>
      <c r="C13" s="98">
        <v>7587</v>
      </c>
      <c r="D13" s="135">
        <v>45650</v>
      </c>
      <c r="E13" s="99" t="s">
        <v>658</v>
      </c>
      <c r="F13" s="100">
        <v>100000</v>
      </c>
      <c r="G13" s="101"/>
      <c r="H13" s="98" t="s">
        <v>75</v>
      </c>
      <c r="I13" s="98"/>
      <c r="J13" s="102"/>
      <c r="K13" s="17"/>
    </row>
    <row r="14" spans="1:11">
      <c r="A14" s="98">
        <v>8</v>
      </c>
      <c r="B14" s="98"/>
      <c r="C14" s="98">
        <v>7658</v>
      </c>
      <c r="D14" s="135">
        <v>45662</v>
      </c>
      <c r="E14" s="99" t="s">
        <v>672</v>
      </c>
      <c r="F14" s="100">
        <v>295000</v>
      </c>
      <c r="G14" s="127"/>
      <c r="H14" s="98" t="s">
        <v>75</v>
      </c>
      <c r="I14" s="98"/>
      <c r="J14" s="102"/>
      <c r="K14" s="17"/>
    </row>
    <row r="15" spans="1:11">
      <c r="A15" s="98">
        <v>9</v>
      </c>
      <c r="B15" s="98"/>
      <c r="C15" s="98">
        <v>7717</v>
      </c>
      <c r="D15" s="135">
        <v>45676</v>
      </c>
      <c r="E15" s="99" t="s">
        <v>681</v>
      </c>
      <c r="F15" s="100">
        <v>25000</v>
      </c>
      <c r="G15" s="127"/>
      <c r="H15" s="98" t="s">
        <v>75</v>
      </c>
      <c r="I15" s="98"/>
      <c r="J15" s="102"/>
      <c r="K15" s="17"/>
    </row>
    <row r="16" spans="1:11">
      <c r="A16" s="98">
        <v>10</v>
      </c>
      <c r="B16" s="98"/>
      <c r="C16" s="98">
        <v>7829</v>
      </c>
      <c r="D16" s="135">
        <v>45696</v>
      </c>
      <c r="E16" s="99" t="s">
        <v>707</v>
      </c>
      <c r="F16" s="100">
        <v>35000</v>
      </c>
      <c r="G16" s="101"/>
      <c r="H16" s="98" t="s">
        <v>75</v>
      </c>
      <c r="I16" s="98"/>
      <c r="J16" s="102"/>
      <c r="K16" s="17"/>
    </row>
    <row r="17" spans="1:11" ht="52.2">
      <c r="A17" s="98">
        <v>11</v>
      </c>
      <c r="B17" s="98"/>
      <c r="C17" s="17">
        <v>1158</v>
      </c>
      <c r="D17" s="17" t="s">
        <v>1241</v>
      </c>
      <c r="E17" s="18" t="s">
        <v>1248</v>
      </c>
      <c r="F17" s="132">
        <v>435000</v>
      </c>
      <c r="G17" s="116"/>
      <c r="H17" s="17" t="s">
        <v>75</v>
      </c>
      <c r="I17" s="98"/>
      <c r="J17" s="102"/>
      <c r="K17" s="17"/>
    </row>
    <row r="18" spans="1:11">
      <c r="A18" s="98">
        <v>12</v>
      </c>
      <c r="B18" s="98"/>
      <c r="C18" s="98"/>
      <c r="D18" s="135"/>
      <c r="E18" s="99"/>
      <c r="F18" s="100"/>
      <c r="G18" s="127"/>
      <c r="H18" s="98"/>
      <c r="I18" s="98"/>
      <c r="J18" s="102"/>
      <c r="K18" s="17"/>
    </row>
    <row r="19" spans="1:11">
      <c r="A19" s="98">
        <v>13</v>
      </c>
      <c r="B19" s="98"/>
      <c r="C19" s="98"/>
      <c r="D19" s="135"/>
      <c r="E19" s="99"/>
      <c r="F19" s="100"/>
      <c r="G19" s="127"/>
      <c r="H19" s="98"/>
      <c r="I19" s="98"/>
      <c r="J19" s="102"/>
      <c r="K19" s="17"/>
    </row>
    <row r="20" spans="1:11">
      <c r="A20" s="98">
        <v>14</v>
      </c>
      <c r="B20" s="98"/>
      <c r="C20" s="98"/>
      <c r="D20" s="135"/>
      <c r="E20" s="99"/>
      <c r="F20" s="100"/>
      <c r="G20" s="127"/>
      <c r="H20" s="98"/>
      <c r="I20" s="98"/>
      <c r="J20" s="102"/>
      <c r="K20" s="17"/>
    </row>
    <row r="21" spans="1:11">
      <c r="A21" s="98">
        <v>15</v>
      </c>
      <c r="B21" s="98"/>
      <c r="C21" s="98"/>
      <c r="D21" s="135"/>
      <c r="E21" s="99"/>
      <c r="F21" s="100"/>
      <c r="G21" s="127"/>
      <c r="H21" s="98"/>
      <c r="I21" s="98"/>
      <c r="J21" s="102"/>
      <c r="K21" s="17"/>
    </row>
    <row r="22" spans="1:11">
      <c r="A22" s="98">
        <v>16</v>
      </c>
      <c r="B22" s="98"/>
      <c r="C22" s="98"/>
      <c r="D22" s="135"/>
      <c r="E22" s="99"/>
      <c r="F22" s="100"/>
      <c r="G22" s="127"/>
      <c r="H22" s="98"/>
      <c r="I22" s="98"/>
      <c r="J22" s="102"/>
      <c r="K22" s="17"/>
    </row>
    <row r="23" spans="1:11">
      <c r="A23" s="98">
        <v>17</v>
      </c>
      <c r="B23" s="98"/>
      <c r="C23" s="98"/>
      <c r="D23" s="135"/>
      <c r="E23" s="99"/>
      <c r="F23" s="100"/>
      <c r="G23" s="127"/>
      <c r="H23" s="98"/>
      <c r="I23" s="98"/>
      <c r="J23" s="102"/>
      <c r="K23" s="17"/>
    </row>
    <row r="24" spans="1:11">
      <c r="A24" s="98">
        <v>18</v>
      </c>
      <c r="B24" s="98"/>
      <c r="C24" s="98"/>
      <c r="D24" s="135"/>
      <c r="E24" s="99"/>
      <c r="F24" s="100"/>
      <c r="G24" s="127"/>
      <c r="H24" s="98"/>
      <c r="I24" s="98"/>
      <c r="J24" s="102"/>
      <c r="K24" s="17"/>
    </row>
    <row r="25" spans="1:11">
      <c r="A25" s="98">
        <v>19</v>
      </c>
      <c r="B25" s="98"/>
      <c r="C25" s="98"/>
      <c r="D25" s="135"/>
      <c r="E25" s="99"/>
      <c r="F25" s="100"/>
      <c r="G25" s="127"/>
      <c r="H25" s="98"/>
      <c r="I25" s="98"/>
      <c r="J25" s="102"/>
      <c r="K25" s="17"/>
    </row>
    <row r="26" spans="1:11">
      <c r="A26" s="98">
        <v>20</v>
      </c>
      <c r="B26" s="98"/>
      <c r="C26" s="98"/>
      <c r="D26" s="135"/>
      <c r="E26" s="99"/>
      <c r="F26" s="100"/>
      <c r="G26" s="127"/>
      <c r="H26" s="98"/>
      <c r="I26" s="98"/>
      <c r="J26" s="102"/>
      <c r="K26" s="17"/>
    </row>
    <row r="27" spans="1:11">
      <c r="A27" s="98">
        <v>21</v>
      </c>
      <c r="B27" s="98"/>
      <c r="C27" s="98"/>
      <c r="D27" s="135"/>
      <c r="E27" s="99"/>
      <c r="F27" s="100"/>
      <c r="G27" s="127"/>
      <c r="H27" s="98"/>
      <c r="I27" s="98"/>
      <c r="J27" s="102"/>
      <c r="K27" s="17"/>
    </row>
    <row r="28" spans="1:11">
      <c r="A28" s="98">
        <v>22</v>
      </c>
      <c r="B28" s="98"/>
      <c r="C28" s="98"/>
      <c r="D28" s="135"/>
      <c r="E28" s="99"/>
      <c r="F28" s="100"/>
      <c r="G28" s="127"/>
      <c r="H28" s="98"/>
      <c r="I28" s="98"/>
      <c r="J28" s="102"/>
      <c r="K28" s="17"/>
    </row>
    <row r="29" spans="1:11">
      <c r="A29" s="98">
        <v>23</v>
      </c>
      <c r="B29" s="98"/>
      <c r="C29" s="98"/>
      <c r="D29" s="135"/>
      <c r="E29" s="99"/>
      <c r="F29" s="100"/>
      <c r="G29" s="127"/>
      <c r="H29" s="98"/>
      <c r="I29" s="98"/>
      <c r="J29" s="102"/>
      <c r="K29" s="17"/>
    </row>
    <row r="30" spans="1:11">
      <c r="A30" s="98">
        <v>24</v>
      </c>
      <c r="B30" s="98"/>
      <c r="C30" s="98"/>
      <c r="D30" s="135"/>
      <c r="E30" s="99"/>
      <c r="F30" s="100"/>
      <c r="G30" s="127"/>
      <c r="H30" s="98"/>
      <c r="I30" s="98"/>
      <c r="J30" s="102"/>
      <c r="K30" s="17"/>
    </row>
    <row r="31" spans="1:11">
      <c r="A31" s="98">
        <v>25</v>
      </c>
      <c r="B31" s="98"/>
      <c r="C31" s="98"/>
      <c r="D31" s="135"/>
      <c r="E31" s="99"/>
      <c r="F31" s="100"/>
      <c r="G31" s="127"/>
      <c r="H31" s="98"/>
      <c r="I31" s="98"/>
      <c r="J31" s="102"/>
      <c r="K31" s="17"/>
    </row>
    <row r="32" spans="1:11">
      <c r="A32" s="98">
        <v>26</v>
      </c>
      <c r="B32" s="98"/>
      <c r="C32" s="98"/>
      <c r="D32" s="135"/>
      <c r="E32" s="99"/>
      <c r="F32" s="100"/>
      <c r="G32" s="127"/>
      <c r="H32" s="98"/>
      <c r="I32" s="98"/>
      <c r="J32" s="102"/>
      <c r="K32" s="17"/>
    </row>
    <row r="33" spans="1:11">
      <c r="A33" s="98">
        <v>27</v>
      </c>
      <c r="B33" s="98"/>
      <c r="C33" s="98"/>
      <c r="D33" s="135"/>
      <c r="E33" s="99"/>
      <c r="F33" s="100"/>
      <c r="G33" s="127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31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32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33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34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35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36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37</v>
      </c>
      <c r="B43" s="98"/>
      <c r="C43" s="98"/>
      <c r="D43" s="98"/>
      <c r="E43" s="99"/>
      <c r="F43" s="100"/>
      <c r="G43" s="127"/>
      <c r="H43" s="98"/>
      <c r="I43" s="98"/>
      <c r="J43" s="102"/>
      <c r="K43" s="17"/>
    </row>
    <row r="44" spans="1:11">
      <c r="A44" s="98">
        <v>38</v>
      </c>
      <c r="B44" s="98"/>
      <c r="C44" s="98"/>
      <c r="D44" s="98"/>
      <c r="E44" s="99"/>
      <c r="F44" s="100"/>
      <c r="G44" s="127"/>
      <c r="H44" s="98"/>
      <c r="I44" s="98"/>
      <c r="J44" s="102"/>
      <c r="K44" s="17"/>
    </row>
    <row r="45" spans="1:11">
      <c r="A45" s="98">
        <v>39</v>
      </c>
      <c r="B45" s="98"/>
      <c r="C45" s="98"/>
      <c r="D45" s="98"/>
      <c r="E45" s="99"/>
      <c r="F45" s="100"/>
      <c r="G45" s="127"/>
      <c r="H45" s="98"/>
      <c r="I45" s="98"/>
      <c r="J45" s="102"/>
      <c r="K45" s="17"/>
    </row>
    <row r="46" spans="1:11">
      <c r="A46" s="98">
        <v>40</v>
      </c>
      <c r="B46" s="98"/>
      <c r="C46" s="98"/>
      <c r="D46" s="98"/>
      <c r="E46" s="99"/>
      <c r="F46" s="100"/>
      <c r="G46" s="127"/>
      <c r="H46" s="98"/>
      <c r="I46" s="98"/>
      <c r="J46" s="102"/>
      <c r="K46" s="17"/>
    </row>
    <row r="47" spans="1:11">
      <c r="A47" s="98">
        <v>41</v>
      </c>
      <c r="B47" s="98"/>
      <c r="C47" s="98"/>
      <c r="D47" s="98"/>
      <c r="E47" s="99"/>
      <c r="F47" s="100"/>
      <c r="G47" s="127"/>
      <c r="H47" s="98"/>
      <c r="I47" s="98"/>
      <c r="J47" s="102"/>
      <c r="K47" s="17"/>
    </row>
    <row r="48" spans="1:11">
      <c r="A48" s="103"/>
      <c r="B48" s="206" t="s">
        <v>98</v>
      </c>
      <c r="C48" s="206"/>
      <c r="D48" s="103"/>
      <c r="E48" s="104"/>
      <c r="F48" s="105">
        <f>SUM(F7:F47)</f>
        <v>5632000</v>
      </c>
      <c r="G48" s="106">
        <f>SUM(G7:G47)</f>
        <v>0</v>
      </c>
      <c r="H48" s="103"/>
      <c r="I48" s="103"/>
      <c r="J48" s="107"/>
      <c r="K48" s="108"/>
    </row>
    <row r="49" spans="1:10">
      <c r="A49" s="109"/>
      <c r="B49" s="109"/>
      <c r="C49" s="109"/>
      <c r="D49" s="109"/>
      <c r="E49" s="110"/>
      <c r="F49" s="111"/>
      <c r="G49" s="129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29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29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29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29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29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29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29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29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29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29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29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29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29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29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29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29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29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29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29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29"/>
      <c r="H69" s="109"/>
      <c r="I69" s="109"/>
      <c r="J69" s="113"/>
    </row>
    <row r="70" spans="1:10">
      <c r="J70" s="115"/>
    </row>
    <row r="71" spans="1:10">
      <c r="J71" s="115"/>
    </row>
    <row r="72" spans="1:10">
      <c r="J72" s="115"/>
    </row>
    <row r="73" spans="1:10">
      <c r="J73" s="115"/>
    </row>
    <row r="74" spans="1:10">
      <c r="J74" s="115"/>
    </row>
    <row r="75" spans="1:10">
      <c r="J75" s="115"/>
    </row>
    <row r="76" spans="1:10">
      <c r="J76" s="115"/>
    </row>
    <row r="77" spans="1:10">
      <c r="J77" s="115"/>
    </row>
    <row r="78" spans="1:10">
      <c r="J78" s="115"/>
    </row>
    <row r="79" spans="1:10">
      <c r="J79" s="115"/>
    </row>
    <row r="80" spans="1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48:C48"/>
  </mergeCells>
  <hyperlinks>
    <hyperlink ref="K2" location="الاليات!A1" display="الاليات " xr:uid="{00000000-0004-0000-1B00-000000000000}"/>
  </hyperlinks>
  <pageMargins left="0.7" right="0.7" top="0.75" bottom="0.75" header="0.3" footer="0.3"/>
  <pageSetup paperSize="9" scale="5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K207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2.6640625" style="1" bestFit="1" customWidth="1"/>
    <col min="3" max="4" width="12.77734375" style="1" bestFit="1" customWidth="1"/>
    <col min="5" max="5" width="18.6640625" style="73" bestFit="1" customWidth="1"/>
    <col min="6" max="6" width="15.109375" style="114" bestFit="1" customWidth="1"/>
    <col min="7" max="7" width="6.21875" style="79" bestFit="1" customWidth="1"/>
    <col min="8" max="8" width="13.44140625" style="1" bestFit="1" customWidth="1"/>
    <col min="9" max="9" width="10.21875" style="1" bestFit="1" customWidth="1"/>
    <col min="10" max="10" width="4.777343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26</v>
      </c>
      <c r="B2" s="202" t="s">
        <v>61</v>
      </c>
      <c r="C2" s="203"/>
      <c r="D2" s="138"/>
      <c r="E2" s="86" t="s">
        <v>8</v>
      </c>
      <c r="F2" s="87">
        <v>2009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862</v>
      </c>
      <c r="D3" s="35"/>
      <c r="E3" s="86" t="s">
        <v>68</v>
      </c>
      <c r="F3" s="140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81" t="s">
        <v>855</v>
      </c>
      <c r="C5" s="35" t="s">
        <v>847</v>
      </c>
      <c r="D5" s="35"/>
      <c r="E5" s="40" t="s">
        <v>95</v>
      </c>
      <c r="F5" s="142"/>
      <c r="G5" s="141"/>
      <c r="H5" s="17" t="s">
        <v>96</v>
      </c>
      <c r="I5" s="117">
        <f>MAX(J7:J230)</f>
        <v>0</v>
      </c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4.799999999999997">
      <c r="A7" s="98">
        <v>1</v>
      </c>
      <c r="B7" s="98" t="s">
        <v>183</v>
      </c>
      <c r="C7" s="98"/>
      <c r="D7" s="135">
        <v>44929</v>
      </c>
      <c r="E7" s="99" t="s">
        <v>202</v>
      </c>
      <c r="F7" s="100">
        <v>14000</v>
      </c>
      <c r="G7" s="101"/>
      <c r="H7" s="98" t="s">
        <v>121</v>
      </c>
      <c r="I7" s="98"/>
      <c r="J7" s="102"/>
      <c r="K7" s="17"/>
    </row>
    <row r="8" spans="1:11">
      <c r="A8" s="98">
        <v>2</v>
      </c>
      <c r="B8" s="98" t="s">
        <v>183</v>
      </c>
      <c r="C8" s="98"/>
      <c r="D8" s="135">
        <v>44929</v>
      </c>
      <c r="E8" s="99" t="s">
        <v>128</v>
      </c>
      <c r="F8" s="100">
        <v>24000</v>
      </c>
      <c r="G8" s="101"/>
      <c r="H8" s="98" t="s">
        <v>121</v>
      </c>
      <c r="I8" s="98"/>
      <c r="J8" s="102"/>
      <c r="K8" s="17"/>
    </row>
    <row r="9" spans="1:11">
      <c r="A9" s="98">
        <v>3</v>
      </c>
      <c r="B9" s="98"/>
      <c r="C9" s="99" t="s">
        <v>325</v>
      </c>
      <c r="D9" s="136">
        <v>45023</v>
      </c>
      <c r="E9" s="99" t="s">
        <v>324</v>
      </c>
      <c r="F9" s="137">
        <v>188000</v>
      </c>
      <c r="G9" s="101"/>
      <c r="H9" s="98"/>
      <c r="I9" s="98"/>
      <c r="J9" s="102"/>
      <c r="K9" s="17"/>
    </row>
    <row r="10" spans="1:11">
      <c r="A10" s="98">
        <v>4</v>
      </c>
      <c r="B10" s="98"/>
      <c r="C10" s="98">
        <v>6145</v>
      </c>
      <c r="D10" s="98" t="s">
        <v>412</v>
      </c>
      <c r="E10" s="99" t="s">
        <v>489</v>
      </c>
      <c r="F10" s="100">
        <v>485000</v>
      </c>
      <c r="G10" s="101"/>
      <c r="H10" s="98" t="s">
        <v>75</v>
      </c>
      <c r="I10" s="98"/>
      <c r="J10" s="102"/>
      <c r="K10" s="17"/>
    </row>
    <row r="11" spans="1:11" ht="104.4">
      <c r="A11" s="98">
        <v>5</v>
      </c>
      <c r="B11" s="98"/>
      <c r="C11" s="98">
        <v>6145</v>
      </c>
      <c r="D11" s="135" t="s">
        <v>412</v>
      </c>
      <c r="E11" s="99" t="s">
        <v>490</v>
      </c>
      <c r="F11" s="100">
        <v>1889000</v>
      </c>
      <c r="G11" s="101"/>
      <c r="H11" s="98" t="s">
        <v>75</v>
      </c>
      <c r="I11" s="98"/>
      <c r="J11" s="102"/>
      <c r="K11" s="17"/>
    </row>
    <row r="12" spans="1:11" ht="69.599999999999994">
      <c r="A12" s="98">
        <v>6</v>
      </c>
      <c r="B12" s="98"/>
      <c r="C12" s="98">
        <v>6263</v>
      </c>
      <c r="D12" s="135">
        <v>45325</v>
      </c>
      <c r="E12" s="99" t="s">
        <v>492</v>
      </c>
      <c r="F12" s="100">
        <v>375000</v>
      </c>
      <c r="G12" s="101"/>
      <c r="H12" s="98" t="s">
        <v>75</v>
      </c>
      <c r="I12" s="98"/>
      <c r="J12" s="102"/>
      <c r="K12" s="17"/>
    </row>
    <row r="13" spans="1:11" ht="87">
      <c r="A13" s="98">
        <v>7</v>
      </c>
      <c r="B13" s="98"/>
      <c r="C13" s="98">
        <v>6317</v>
      </c>
      <c r="D13" s="98" t="s">
        <v>430</v>
      </c>
      <c r="E13" s="99" t="s">
        <v>493</v>
      </c>
      <c r="F13" s="100">
        <v>1357000</v>
      </c>
      <c r="G13" s="101"/>
      <c r="H13" s="98" t="s">
        <v>75</v>
      </c>
      <c r="I13" s="98"/>
      <c r="J13" s="102"/>
      <c r="K13" s="17"/>
    </row>
    <row r="14" spans="1:11">
      <c r="A14" s="98">
        <v>8</v>
      </c>
      <c r="B14" s="98"/>
      <c r="C14" s="98">
        <v>6488</v>
      </c>
      <c r="D14" s="135">
        <v>45601</v>
      </c>
      <c r="E14" s="99" t="s">
        <v>511</v>
      </c>
      <c r="F14" s="100">
        <v>290000</v>
      </c>
      <c r="G14" s="101"/>
      <c r="H14" s="98" t="s">
        <v>75</v>
      </c>
      <c r="I14" s="98"/>
      <c r="J14" s="102"/>
      <c r="K14" s="17"/>
    </row>
    <row r="15" spans="1:11">
      <c r="A15" s="98">
        <v>9</v>
      </c>
      <c r="B15" s="98"/>
      <c r="C15" s="17">
        <v>7580</v>
      </c>
      <c r="D15" s="130">
        <v>45649</v>
      </c>
      <c r="E15" s="18" t="s">
        <v>643</v>
      </c>
      <c r="F15" s="132">
        <v>135000</v>
      </c>
      <c r="G15" s="25"/>
      <c r="H15" s="17" t="s">
        <v>75</v>
      </c>
      <c r="I15" s="98"/>
      <c r="J15" s="102"/>
      <c r="K15" s="17"/>
    </row>
    <row r="16" spans="1:11">
      <c r="A16" s="98">
        <v>10</v>
      </c>
      <c r="B16" s="98"/>
      <c r="C16" s="98">
        <v>7587</v>
      </c>
      <c r="D16" s="135">
        <v>45650</v>
      </c>
      <c r="E16" s="99" t="s">
        <v>662</v>
      </c>
      <c r="F16" s="100">
        <v>85000</v>
      </c>
      <c r="G16" s="101"/>
      <c r="H16" s="98" t="s">
        <v>75</v>
      </c>
      <c r="I16" s="98"/>
      <c r="J16" s="102"/>
      <c r="K16" s="17"/>
    </row>
    <row r="17" spans="1:11">
      <c r="A17" s="98">
        <v>11</v>
      </c>
      <c r="B17" s="98"/>
      <c r="C17" s="17">
        <v>7992</v>
      </c>
      <c r="D17" s="130">
        <v>45722</v>
      </c>
      <c r="E17" s="18" t="s">
        <v>725</v>
      </c>
      <c r="F17" s="24">
        <v>105000</v>
      </c>
      <c r="G17" s="116"/>
      <c r="H17" s="17" t="s">
        <v>75</v>
      </c>
      <c r="I17" s="98"/>
      <c r="J17" s="102"/>
      <c r="K17" s="17"/>
    </row>
    <row r="18" spans="1:11" ht="34.799999999999997">
      <c r="A18" s="98">
        <v>12</v>
      </c>
      <c r="B18" s="98"/>
      <c r="C18" s="17">
        <v>8152</v>
      </c>
      <c r="D18" s="130">
        <v>45760</v>
      </c>
      <c r="E18" s="18" t="s">
        <v>750</v>
      </c>
      <c r="F18" s="132">
        <v>80000</v>
      </c>
      <c r="G18" s="25"/>
      <c r="H18" s="117" t="s">
        <v>75</v>
      </c>
      <c r="I18" s="98"/>
      <c r="J18" s="102"/>
      <c r="K18" s="17"/>
    </row>
    <row r="19" spans="1:11">
      <c r="A19" s="98">
        <v>13</v>
      </c>
      <c r="B19" s="98"/>
      <c r="C19" s="17">
        <v>8850</v>
      </c>
      <c r="D19" s="130">
        <v>45798</v>
      </c>
      <c r="E19" s="18" t="s">
        <v>782</v>
      </c>
      <c r="F19" s="132">
        <v>15000</v>
      </c>
      <c r="G19" s="25"/>
      <c r="H19" s="98" t="s">
        <v>75</v>
      </c>
      <c r="I19" s="98"/>
      <c r="J19" s="102"/>
      <c r="K19" s="17"/>
    </row>
    <row r="20" spans="1:11">
      <c r="A20" s="98">
        <v>14</v>
      </c>
      <c r="B20" s="98"/>
      <c r="C20" s="98">
        <v>9738</v>
      </c>
      <c r="D20" s="135">
        <v>45913</v>
      </c>
      <c r="E20" s="99" t="s">
        <v>672</v>
      </c>
      <c r="F20" s="100">
        <v>165000</v>
      </c>
      <c r="G20" s="101"/>
      <c r="H20" s="98" t="s">
        <v>75</v>
      </c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31</v>
      </c>
      <c r="B37" s="98"/>
      <c r="C37" s="98"/>
      <c r="D37" s="98"/>
      <c r="E37" s="99"/>
      <c r="F37" s="100"/>
      <c r="G37" s="101"/>
      <c r="H37" s="98"/>
      <c r="I37" s="98"/>
      <c r="J37" s="102"/>
      <c r="K37" s="17"/>
    </row>
    <row r="38" spans="1:11">
      <c r="A38" s="98">
        <v>32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98">
        <v>33</v>
      </c>
      <c r="B39" s="98"/>
      <c r="C39" s="98"/>
      <c r="D39" s="98"/>
      <c r="E39" s="99"/>
      <c r="F39" s="100"/>
      <c r="G39" s="101"/>
      <c r="H39" s="98"/>
      <c r="I39" s="98"/>
      <c r="J39" s="102"/>
      <c r="K39" s="17"/>
    </row>
    <row r="40" spans="1:11">
      <c r="A40" s="98">
        <v>34</v>
      </c>
      <c r="B40" s="98"/>
      <c r="C40" s="98"/>
      <c r="D40" s="98"/>
      <c r="E40" s="99"/>
      <c r="F40" s="100"/>
      <c r="G40" s="101"/>
      <c r="H40" s="98"/>
      <c r="I40" s="98"/>
      <c r="J40" s="102"/>
      <c r="K40" s="17"/>
    </row>
    <row r="41" spans="1:11">
      <c r="A41" s="98">
        <v>35</v>
      </c>
      <c r="B41" s="98"/>
      <c r="C41" s="98"/>
      <c r="D41" s="98"/>
      <c r="E41" s="99"/>
      <c r="F41" s="100"/>
      <c r="G41" s="101"/>
      <c r="H41" s="98"/>
      <c r="I41" s="98"/>
      <c r="J41" s="102"/>
      <c r="K41" s="17"/>
    </row>
    <row r="42" spans="1:11">
      <c r="A42" s="98">
        <v>36</v>
      </c>
      <c r="B42" s="98"/>
      <c r="C42" s="98"/>
      <c r="D42" s="98"/>
      <c r="E42" s="99"/>
      <c r="F42" s="100"/>
      <c r="G42" s="101"/>
      <c r="H42" s="98"/>
      <c r="I42" s="98"/>
      <c r="J42" s="102"/>
      <c r="K42" s="17"/>
    </row>
    <row r="43" spans="1:11">
      <c r="A43" s="98">
        <v>37</v>
      </c>
      <c r="B43" s="98"/>
      <c r="C43" s="98"/>
      <c r="D43" s="98"/>
      <c r="E43" s="99"/>
      <c r="F43" s="100"/>
      <c r="G43" s="101"/>
      <c r="H43" s="98"/>
      <c r="I43" s="98"/>
      <c r="J43" s="102"/>
      <c r="K43" s="17"/>
    </row>
    <row r="44" spans="1:11">
      <c r="A44" s="98">
        <v>38</v>
      </c>
      <c r="B44" s="98"/>
      <c r="C44" s="98"/>
      <c r="D44" s="98"/>
      <c r="E44" s="99"/>
      <c r="F44" s="100"/>
      <c r="G44" s="101"/>
      <c r="H44" s="98"/>
      <c r="I44" s="98"/>
      <c r="J44" s="102"/>
      <c r="K44" s="17"/>
    </row>
    <row r="45" spans="1:11">
      <c r="A45" s="98">
        <v>39</v>
      </c>
      <c r="B45" s="98"/>
      <c r="C45" s="98"/>
      <c r="D45" s="98"/>
      <c r="E45" s="99"/>
      <c r="F45" s="100"/>
      <c r="G45" s="101"/>
      <c r="H45" s="98"/>
      <c r="I45" s="98"/>
      <c r="J45" s="102"/>
      <c r="K45" s="17"/>
    </row>
    <row r="46" spans="1:11">
      <c r="A46" s="98">
        <v>40</v>
      </c>
      <c r="B46" s="98"/>
      <c r="C46" s="98"/>
      <c r="D46" s="98"/>
      <c r="E46" s="99"/>
      <c r="F46" s="100"/>
      <c r="G46" s="101"/>
      <c r="H46" s="98"/>
      <c r="I46" s="98"/>
      <c r="J46" s="102"/>
      <c r="K46" s="17"/>
    </row>
    <row r="47" spans="1:11">
      <c r="A47" s="98">
        <v>41</v>
      </c>
      <c r="B47" s="98"/>
      <c r="C47" s="98"/>
      <c r="D47" s="98"/>
      <c r="E47" s="99"/>
      <c r="F47" s="100"/>
      <c r="G47" s="101"/>
      <c r="H47" s="98"/>
      <c r="I47" s="98"/>
      <c r="J47" s="102"/>
      <c r="K47" s="17"/>
    </row>
    <row r="48" spans="1:11">
      <c r="A48" s="98">
        <v>42</v>
      </c>
      <c r="B48" s="98"/>
      <c r="C48" s="98"/>
      <c r="D48" s="98"/>
      <c r="E48" s="99"/>
      <c r="F48" s="100"/>
      <c r="G48" s="101"/>
      <c r="H48" s="98"/>
      <c r="I48" s="98"/>
      <c r="J48" s="102"/>
      <c r="K48" s="17"/>
    </row>
    <row r="49" spans="1:11">
      <c r="A49" s="98">
        <v>43</v>
      </c>
      <c r="B49" s="98"/>
      <c r="C49" s="98"/>
      <c r="D49" s="98"/>
      <c r="E49" s="99"/>
      <c r="F49" s="100"/>
      <c r="G49" s="101"/>
      <c r="H49" s="98"/>
      <c r="I49" s="98"/>
      <c r="J49" s="102"/>
      <c r="K49" s="17"/>
    </row>
    <row r="50" spans="1:11">
      <c r="A50" s="98">
        <v>44</v>
      </c>
      <c r="B50" s="98"/>
      <c r="C50" s="98"/>
      <c r="D50" s="98"/>
      <c r="E50" s="99"/>
      <c r="F50" s="100"/>
      <c r="G50" s="101"/>
      <c r="H50" s="98"/>
      <c r="I50" s="98"/>
      <c r="J50" s="102"/>
      <c r="K50" s="17"/>
    </row>
    <row r="51" spans="1:11">
      <c r="A51" s="98">
        <v>45</v>
      </c>
      <c r="B51" s="98"/>
      <c r="C51" s="98"/>
      <c r="D51" s="98"/>
      <c r="E51" s="99"/>
      <c r="F51" s="100"/>
      <c r="G51" s="101"/>
      <c r="H51" s="98"/>
      <c r="I51" s="98"/>
      <c r="J51" s="102"/>
      <c r="K51" s="17"/>
    </row>
    <row r="52" spans="1:11">
      <c r="A52" s="98">
        <v>46</v>
      </c>
      <c r="B52" s="98"/>
      <c r="C52" s="98"/>
      <c r="D52" s="98"/>
      <c r="E52" s="99"/>
      <c r="F52" s="100"/>
      <c r="G52" s="101"/>
      <c r="H52" s="98"/>
      <c r="I52" s="98"/>
      <c r="J52" s="102"/>
      <c r="K52" s="17"/>
    </row>
    <row r="53" spans="1:11">
      <c r="A53" s="98">
        <v>47</v>
      </c>
      <c r="B53" s="98"/>
      <c r="C53" s="98"/>
      <c r="D53" s="98"/>
      <c r="E53" s="99"/>
      <c r="F53" s="100"/>
      <c r="G53" s="101"/>
      <c r="H53" s="98"/>
      <c r="I53" s="98"/>
      <c r="J53" s="102"/>
      <c r="K53" s="17"/>
    </row>
    <row r="54" spans="1:11">
      <c r="A54" s="98">
        <v>48</v>
      </c>
      <c r="B54" s="98"/>
      <c r="C54" s="98"/>
      <c r="D54" s="98"/>
      <c r="E54" s="99"/>
      <c r="F54" s="100"/>
      <c r="G54" s="101"/>
      <c r="H54" s="98"/>
      <c r="I54" s="98"/>
      <c r="J54" s="102"/>
      <c r="K54" s="17"/>
    </row>
    <row r="55" spans="1:11">
      <c r="A55" s="98">
        <v>49</v>
      </c>
      <c r="B55" s="98"/>
      <c r="C55" s="98"/>
      <c r="D55" s="98"/>
      <c r="E55" s="99"/>
      <c r="F55" s="100"/>
      <c r="G55" s="101"/>
      <c r="H55" s="98"/>
      <c r="I55" s="98"/>
      <c r="J55" s="102"/>
      <c r="K55" s="17"/>
    </row>
    <row r="56" spans="1:11">
      <c r="A56" s="98">
        <v>50</v>
      </c>
      <c r="B56" s="98"/>
      <c r="C56" s="98"/>
      <c r="D56" s="98"/>
      <c r="E56" s="99"/>
      <c r="F56" s="100"/>
      <c r="G56" s="101"/>
      <c r="H56" s="98"/>
      <c r="I56" s="98"/>
      <c r="J56" s="102"/>
      <c r="K56" s="17"/>
    </row>
    <row r="57" spans="1:11">
      <c r="A57" s="98">
        <v>51</v>
      </c>
      <c r="B57" s="98"/>
      <c r="C57" s="98"/>
      <c r="D57" s="98"/>
      <c r="E57" s="99"/>
      <c r="F57" s="100"/>
      <c r="G57" s="101"/>
      <c r="H57" s="98"/>
      <c r="I57" s="98"/>
      <c r="J57" s="102"/>
      <c r="K57" s="17"/>
    </row>
    <row r="58" spans="1:11">
      <c r="A58" s="98">
        <v>52</v>
      </c>
      <c r="B58" s="98"/>
      <c r="C58" s="98"/>
      <c r="D58" s="98"/>
      <c r="E58" s="99"/>
      <c r="F58" s="100"/>
      <c r="G58" s="101"/>
      <c r="H58" s="98"/>
      <c r="I58" s="98"/>
      <c r="J58" s="102"/>
      <c r="K58" s="17"/>
    </row>
    <row r="59" spans="1:11">
      <c r="A59" s="98">
        <v>53</v>
      </c>
      <c r="B59" s="98"/>
      <c r="C59" s="98"/>
      <c r="D59" s="98"/>
      <c r="E59" s="99"/>
      <c r="F59" s="100"/>
      <c r="G59" s="101"/>
      <c r="H59" s="98"/>
      <c r="I59" s="98"/>
      <c r="J59" s="102"/>
      <c r="K59" s="17"/>
    </row>
    <row r="60" spans="1:11">
      <c r="A60" s="98">
        <v>54</v>
      </c>
      <c r="B60" s="98"/>
      <c r="C60" s="98"/>
      <c r="D60" s="98"/>
      <c r="E60" s="99"/>
      <c r="F60" s="100"/>
      <c r="G60" s="101"/>
      <c r="H60" s="98"/>
      <c r="I60" s="98"/>
      <c r="J60" s="102"/>
      <c r="K60" s="17"/>
    </row>
    <row r="61" spans="1:11">
      <c r="A61" s="98">
        <v>55</v>
      </c>
      <c r="B61" s="98"/>
      <c r="C61" s="98"/>
      <c r="D61" s="98"/>
      <c r="E61" s="99"/>
      <c r="F61" s="100"/>
      <c r="G61" s="101"/>
      <c r="H61" s="98"/>
      <c r="I61" s="98"/>
      <c r="J61" s="102"/>
      <c r="K61" s="17"/>
    </row>
    <row r="62" spans="1:11">
      <c r="A62" s="98">
        <v>56</v>
      </c>
      <c r="B62" s="98"/>
      <c r="C62" s="98"/>
      <c r="D62" s="98"/>
      <c r="E62" s="99"/>
      <c r="F62" s="100"/>
      <c r="G62" s="101"/>
      <c r="H62" s="98"/>
      <c r="I62" s="98"/>
      <c r="J62" s="102"/>
      <c r="K62" s="17"/>
    </row>
    <row r="63" spans="1:11">
      <c r="A63" s="98">
        <v>57</v>
      </c>
      <c r="B63" s="98"/>
      <c r="C63" s="98"/>
      <c r="D63" s="98"/>
      <c r="E63" s="99"/>
      <c r="F63" s="100"/>
      <c r="G63" s="101"/>
      <c r="H63" s="98"/>
      <c r="I63" s="98"/>
      <c r="J63" s="102"/>
      <c r="K63" s="17"/>
    </row>
    <row r="64" spans="1:11">
      <c r="A64" s="98">
        <v>58</v>
      </c>
      <c r="B64" s="98"/>
      <c r="C64" s="98"/>
      <c r="D64" s="98"/>
      <c r="E64" s="99"/>
      <c r="F64" s="100"/>
      <c r="G64" s="101"/>
      <c r="H64" s="98"/>
      <c r="I64" s="98"/>
      <c r="J64" s="102"/>
      <c r="K64" s="17"/>
    </row>
    <row r="65" spans="1:11">
      <c r="A65" s="98">
        <v>59</v>
      </c>
      <c r="B65" s="98"/>
      <c r="C65" s="98"/>
      <c r="D65" s="98"/>
      <c r="E65" s="99"/>
      <c r="F65" s="100"/>
      <c r="G65" s="101"/>
      <c r="H65" s="98"/>
      <c r="I65" s="98"/>
      <c r="J65" s="102"/>
      <c r="K65" s="17"/>
    </row>
    <row r="66" spans="1:11">
      <c r="A66" s="98">
        <v>60</v>
      </c>
      <c r="B66" s="98"/>
      <c r="C66" s="98"/>
      <c r="D66" s="98"/>
      <c r="E66" s="99"/>
      <c r="F66" s="100"/>
      <c r="G66" s="101"/>
      <c r="H66" s="98"/>
      <c r="I66" s="98"/>
      <c r="J66" s="102"/>
      <c r="K66" s="17"/>
    </row>
    <row r="67" spans="1:11">
      <c r="A67" s="98">
        <v>61</v>
      </c>
      <c r="B67" s="98"/>
      <c r="C67" s="98"/>
      <c r="D67" s="98"/>
      <c r="E67" s="99"/>
      <c r="F67" s="100"/>
      <c r="G67" s="101"/>
      <c r="H67" s="98"/>
      <c r="I67" s="98"/>
      <c r="J67" s="102"/>
      <c r="K67" s="17"/>
    </row>
    <row r="68" spans="1:11">
      <c r="A68" s="98">
        <v>62</v>
      </c>
      <c r="B68" s="98"/>
      <c r="C68" s="98"/>
      <c r="D68" s="98"/>
      <c r="E68" s="99"/>
      <c r="F68" s="100"/>
      <c r="G68" s="101"/>
      <c r="H68" s="98"/>
      <c r="I68" s="98"/>
      <c r="J68" s="102"/>
      <c r="K68" s="17"/>
    </row>
    <row r="69" spans="1:11">
      <c r="A69" s="98">
        <v>63</v>
      </c>
      <c r="B69" s="98"/>
      <c r="C69" s="98"/>
      <c r="D69" s="98"/>
      <c r="E69" s="99"/>
      <c r="F69" s="100"/>
      <c r="G69" s="101"/>
      <c r="H69" s="98"/>
      <c r="I69" s="98"/>
      <c r="J69" s="102"/>
      <c r="K69" s="17"/>
    </row>
    <row r="70" spans="1:11">
      <c r="A70" s="98">
        <v>64</v>
      </c>
      <c r="B70" s="98"/>
      <c r="C70" s="98"/>
      <c r="D70" s="98"/>
      <c r="E70" s="99"/>
      <c r="F70" s="100"/>
      <c r="G70" s="101"/>
      <c r="H70" s="98"/>
      <c r="I70" s="98"/>
      <c r="J70" s="102"/>
      <c r="K70" s="17"/>
    </row>
    <row r="71" spans="1:11">
      <c r="A71" s="98">
        <v>65</v>
      </c>
      <c r="B71" s="98"/>
      <c r="C71" s="98"/>
      <c r="D71" s="98"/>
      <c r="E71" s="99"/>
      <c r="F71" s="100"/>
      <c r="G71" s="101"/>
      <c r="H71" s="98"/>
      <c r="I71" s="98"/>
      <c r="J71" s="102"/>
      <c r="K71" s="17"/>
    </row>
    <row r="72" spans="1:11">
      <c r="A72" s="98">
        <v>66</v>
      </c>
      <c r="B72" s="98"/>
      <c r="C72" s="98"/>
      <c r="D72" s="98"/>
      <c r="E72" s="99"/>
      <c r="F72" s="100"/>
      <c r="G72" s="101"/>
      <c r="H72" s="98"/>
      <c r="I72" s="98"/>
      <c r="J72" s="102"/>
      <c r="K72" s="17"/>
    </row>
    <row r="73" spans="1:11">
      <c r="A73" s="98">
        <v>67</v>
      </c>
      <c r="B73" s="98"/>
      <c r="C73" s="98"/>
      <c r="D73" s="98"/>
      <c r="E73" s="99"/>
      <c r="F73" s="100"/>
      <c r="G73" s="101"/>
      <c r="H73" s="98"/>
      <c r="I73" s="98"/>
      <c r="J73" s="102"/>
      <c r="K73" s="17"/>
    </row>
    <row r="74" spans="1:11">
      <c r="A74" s="98">
        <v>68</v>
      </c>
      <c r="B74" s="98"/>
      <c r="C74" s="98"/>
      <c r="D74" s="98"/>
      <c r="E74" s="99"/>
      <c r="F74" s="100"/>
      <c r="G74" s="101"/>
      <c r="H74" s="98"/>
      <c r="I74" s="98"/>
      <c r="J74" s="102"/>
      <c r="K74" s="17"/>
    </row>
    <row r="75" spans="1:11">
      <c r="A75" s="98">
        <v>69</v>
      </c>
      <c r="B75" s="98"/>
      <c r="C75" s="98"/>
      <c r="D75" s="98"/>
      <c r="E75" s="99"/>
      <c r="F75" s="100"/>
      <c r="G75" s="101"/>
      <c r="H75" s="98"/>
      <c r="I75" s="98"/>
      <c r="J75" s="102"/>
      <c r="K75" s="17"/>
    </row>
    <row r="76" spans="1:11">
      <c r="A76" s="98">
        <v>70</v>
      </c>
      <c r="B76" s="98"/>
      <c r="C76" s="98"/>
      <c r="D76" s="98"/>
      <c r="E76" s="99"/>
      <c r="F76" s="100"/>
      <c r="G76" s="101"/>
      <c r="H76" s="98"/>
      <c r="I76" s="98"/>
      <c r="J76" s="102"/>
      <c r="K76" s="17"/>
    </row>
    <row r="77" spans="1:11">
      <c r="A77" s="98">
        <v>71</v>
      </c>
      <c r="B77" s="98"/>
      <c r="C77" s="98"/>
      <c r="D77" s="98"/>
      <c r="E77" s="99"/>
      <c r="F77" s="100"/>
      <c r="G77" s="101"/>
      <c r="H77" s="98"/>
      <c r="I77" s="98"/>
      <c r="J77" s="102"/>
      <c r="K77" s="17"/>
    </row>
    <row r="78" spans="1:11">
      <c r="A78" s="98">
        <v>72</v>
      </c>
      <c r="B78" s="98"/>
      <c r="C78" s="98"/>
      <c r="D78" s="98"/>
      <c r="E78" s="99"/>
      <c r="F78" s="100"/>
      <c r="G78" s="101"/>
      <c r="H78" s="98"/>
      <c r="I78" s="98"/>
      <c r="J78" s="102"/>
      <c r="K78" s="17"/>
    </row>
    <row r="79" spans="1:11">
      <c r="A79" s="98">
        <v>73</v>
      </c>
      <c r="B79" s="98"/>
      <c r="C79" s="98"/>
      <c r="D79" s="98"/>
      <c r="E79" s="99"/>
      <c r="F79" s="100"/>
      <c r="G79" s="101"/>
      <c r="H79" s="98"/>
      <c r="I79" s="98"/>
      <c r="J79" s="102"/>
      <c r="K79" s="17"/>
    </row>
    <row r="80" spans="1:11">
      <c r="A80" s="98">
        <v>74</v>
      </c>
      <c r="B80" s="98"/>
      <c r="C80" s="98"/>
      <c r="D80" s="98"/>
      <c r="E80" s="99"/>
      <c r="F80" s="100"/>
      <c r="G80" s="101"/>
      <c r="H80" s="98"/>
      <c r="I80" s="98"/>
      <c r="J80" s="102"/>
      <c r="K80" s="17"/>
    </row>
    <row r="81" spans="1:11">
      <c r="A81" s="98">
        <v>75</v>
      </c>
      <c r="B81" s="98"/>
      <c r="C81" s="98"/>
      <c r="D81" s="98"/>
      <c r="E81" s="99"/>
      <c r="F81" s="100"/>
      <c r="G81" s="101"/>
      <c r="H81" s="98"/>
      <c r="I81" s="98"/>
      <c r="J81" s="102"/>
      <c r="K81" s="17"/>
    </row>
    <row r="82" spans="1:11">
      <c r="A82" s="98">
        <v>76</v>
      </c>
      <c r="B82" s="98"/>
      <c r="C82" s="98"/>
      <c r="D82" s="98"/>
      <c r="E82" s="99"/>
      <c r="F82" s="100"/>
      <c r="G82" s="101"/>
      <c r="H82" s="98"/>
      <c r="I82" s="98"/>
      <c r="J82" s="102"/>
      <c r="K82" s="17"/>
    </row>
    <row r="83" spans="1:11">
      <c r="A83" s="98">
        <v>77</v>
      </c>
      <c r="B83" s="98"/>
      <c r="C83" s="98"/>
      <c r="D83" s="98"/>
      <c r="E83" s="99"/>
      <c r="F83" s="100"/>
      <c r="G83" s="101"/>
      <c r="H83" s="98"/>
      <c r="I83" s="98"/>
      <c r="J83" s="102"/>
      <c r="K83" s="17"/>
    </row>
    <row r="84" spans="1:11">
      <c r="A84" s="98">
        <v>78</v>
      </c>
      <c r="B84" s="98"/>
      <c r="C84" s="98"/>
      <c r="D84" s="98"/>
      <c r="E84" s="99"/>
      <c r="F84" s="100"/>
      <c r="G84" s="101"/>
      <c r="H84" s="98"/>
      <c r="I84" s="98"/>
      <c r="J84" s="102"/>
      <c r="K84" s="17"/>
    </row>
    <row r="85" spans="1:11">
      <c r="A85" s="98">
        <v>79</v>
      </c>
      <c r="B85" s="98"/>
      <c r="C85" s="98"/>
      <c r="D85" s="98"/>
      <c r="E85" s="99"/>
      <c r="F85" s="100"/>
      <c r="G85" s="101"/>
      <c r="H85" s="98"/>
      <c r="I85" s="98"/>
      <c r="J85" s="102"/>
      <c r="K85" s="17"/>
    </row>
    <row r="86" spans="1:11">
      <c r="A86" s="98">
        <v>80</v>
      </c>
      <c r="B86" s="98"/>
      <c r="C86" s="98"/>
      <c r="D86" s="98"/>
      <c r="E86" s="99"/>
      <c r="F86" s="100"/>
      <c r="G86" s="101"/>
      <c r="H86" s="98"/>
      <c r="I86" s="98"/>
      <c r="J86" s="102"/>
      <c r="K86" s="17"/>
    </row>
    <row r="87" spans="1:11">
      <c r="A87" s="98">
        <v>81</v>
      </c>
      <c r="B87" s="98"/>
      <c r="C87" s="98"/>
      <c r="D87" s="98"/>
      <c r="E87" s="99"/>
      <c r="F87" s="100"/>
      <c r="G87" s="101"/>
      <c r="H87" s="98"/>
      <c r="I87" s="98"/>
      <c r="J87" s="102"/>
      <c r="K87" s="17"/>
    </row>
    <row r="88" spans="1:11">
      <c r="A88" s="98">
        <v>82</v>
      </c>
      <c r="B88" s="98"/>
      <c r="C88" s="98"/>
      <c r="D88" s="98"/>
      <c r="E88" s="99"/>
      <c r="F88" s="100"/>
      <c r="G88" s="101"/>
      <c r="H88" s="98"/>
      <c r="I88" s="98"/>
      <c r="J88" s="102"/>
      <c r="K88" s="17"/>
    </row>
    <row r="89" spans="1:11">
      <c r="A89" s="98">
        <v>83</v>
      </c>
      <c r="B89" s="98"/>
      <c r="C89" s="98"/>
      <c r="D89" s="98"/>
      <c r="E89" s="99"/>
      <c r="F89" s="100"/>
      <c r="G89" s="101"/>
      <c r="H89" s="98"/>
      <c r="I89" s="98"/>
      <c r="J89" s="102"/>
      <c r="K89" s="17"/>
    </row>
    <row r="90" spans="1:11">
      <c r="A90" s="98">
        <v>84</v>
      </c>
      <c r="B90" s="98"/>
      <c r="C90" s="98"/>
      <c r="D90" s="98"/>
      <c r="E90" s="99"/>
      <c r="F90" s="100"/>
      <c r="G90" s="101"/>
      <c r="H90" s="98"/>
      <c r="I90" s="98"/>
      <c r="J90" s="102"/>
      <c r="K90" s="17"/>
    </row>
    <row r="91" spans="1:11">
      <c r="A91" s="98">
        <v>85</v>
      </c>
      <c r="B91" s="98"/>
      <c r="C91" s="98"/>
      <c r="D91" s="98"/>
      <c r="E91" s="99"/>
      <c r="F91" s="100"/>
      <c r="G91" s="101"/>
      <c r="H91" s="98"/>
      <c r="I91" s="98"/>
      <c r="J91" s="102"/>
      <c r="K91" s="17"/>
    </row>
    <row r="92" spans="1:11">
      <c r="A92" s="98">
        <v>86</v>
      </c>
      <c r="B92" s="98"/>
      <c r="C92" s="98"/>
      <c r="D92" s="98"/>
      <c r="E92" s="99"/>
      <c r="F92" s="100"/>
      <c r="G92" s="101"/>
      <c r="H92" s="98"/>
      <c r="I92" s="98"/>
      <c r="J92" s="102"/>
      <c r="K92" s="17"/>
    </row>
    <row r="93" spans="1:11">
      <c r="A93" s="98">
        <v>87</v>
      </c>
      <c r="B93" s="98"/>
      <c r="C93" s="98"/>
      <c r="D93" s="98"/>
      <c r="E93" s="99"/>
      <c r="F93" s="100"/>
      <c r="G93" s="101"/>
      <c r="H93" s="98"/>
      <c r="I93" s="98"/>
      <c r="J93" s="102"/>
      <c r="K93" s="17"/>
    </row>
    <row r="94" spans="1:11">
      <c r="A94" s="98">
        <v>88</v>
      </c>
      <c r="B94" s="98"/>
      <c r="C94" s="98"/>
      <c r="D94" s="98"/>
      <c r="E94" s="99"/>
      <c r="F94" s="100"/>
      <c r="G94" s="101"/>
      <c r="H94" s="98"/>
      <c r="I94" s="98"/>
      <c r="J94" s="102"/>
      <c r="K94" s="17"/>
    </row>
    <row r="95" spans="1:11">
      <c r="A95" s="98">
        <v>89</v>
      </c>
      <c r="B95" s="98"/>
      <c r="C95" s="98"/>
      <c r="D95" s="98"/>
      <c r="E95" s="99"/>
      <c r="F95" s="100"/>
      <c r="G95" s="101"/>
      <c r="H95" s="98"/>
      <c r="I95" s="98"/>
      <c r="J95" s="102"/>
      <c r="K95" s="17"/>
    </row>
    <row r="96" spans="1:11">
      <c r="A96" s="98">
        <v>90</v>
      </c>
      <c r="B96" s="98"/>
      <c r="C96" s="98"/>
      <c r="D96" s="98"/>
      <c r="E96" s="99"/>
      <c r="F96" s="100"/>
      <c r="G96" s="101"/>
      <c r="H96" s="98"/>
      <c r="I96" s="98"/>
      <c r="J96" s="102"/>
      <c r="K96" s="17"/>
    </row>
    <row r="97" spans="1:11">
      <c r="A97" s="98">
        <v>91</v>
      </c>
      <c r="B97" s="98"/>
      <c r="C97" s="98"/>
      <c r="D97" s="98"/>
      <c r="E97" s="99"/>
      <c r="F97" s="100"/>
      <c r="G97" s="101"/>
      <c r="H97" s="98"/>
      <c r="I97" s="98"/>
      <c r="J97" s="102"/>
      <c r="K97" s="17"/>
    </row>
    <row r="98" spans="1:11">
      <c r="A98" s="98">
        <v>92</v>
      </c>
      <c r="B98" s="98"/>
      <c r="C98" s="98"/>
      <c r="D98" s="98"/>
      <c r="E98" s="99"/>
      <c r="F98" s="100"/>
      <c r="G98" s="101"/>
      <c r="H98" s="98"/>
      <c r="I98" s="98"/>
      <c r="J98" s="102"/>
      <c r="K98" s="17"/>
    </row>
    <row r="99" spans="1:11">
      <c r="A99" s="98">
        <v>93</v>
      </c>
      <c r="B99" s="98"/>
      <c r="C99" s="98"/>
      <c r="D99" s="98"/>
      <c r="E99" s="99"/>
      <c r="F99" s="100"/>
      <c r="G99" s="101"/>
      <c r="H99" s="98"/>
      <c r="I99" s="98"/>
      <c r="J99" s="102"/>
      <c r="K99" s="17"/>
    </row>
    <row r="100" spans="1:11">
      <c r="A100" s="98">
        <v>94</v>
      </c>
      <c r="B100" s="98"/>
      <c r="C100" s="98"/>
      <c r="D100" s="98"/>
      <c r="E100" s="99"/>
      <c r="F100" s="100"/>
      <c r="G100" s="101"/>
      <c r="H100" s="98"/>
      <c r="I100" s="98"/>
      <c r="J100" s="102"/>
      <c r="K100" s="17"/>
    </row>
    <row r="101" spans="1:11">
      <c r="A101" s="98">
        <v>95</v>
      </c>
      <c r="B101" s="98"/>
      <c r="C101" s="98"/>
      <c r="D101" s="98"/>
      <c r="E101" s="99"/>
      <c r="F101" s="100"/>
      <c r="G101" s="101"/>
      <c r="H101" s="98"/>
      <c r="I101" s="98"/>
      <c r="J101" s="102"/>
      <c r="K101" s="17"/>
    </row>
    <row r="102" spans="1:11">
      <c r="A102" s="98">
        <v>96</v>
      </c>
      <c r="B102" s="98"/>
      <c r="C102" s="98"/>
      <c r="D102" s="98"/>
      <c r="E102" s="99"/>
      <c r="F102" s="100"/>
      <c r="G102" s="101"/>
      <c r="H102" s="98"/>
      <c r="I102" s="98"/>
      <c r="J102" s="102"/>
      <c r="K102" s="17"/>
    </row>
    <row r="103" spans="1:11">
      <c r="A103" s="98">
        <v>97</v>
      </c>
      <c r="B103" s="98"/>
      <c r="C103" s="98"/>
      <c r="D103" s="98"/>
      <c r="E103" s="99"/>
      <c r="F103" s="100"/>
      <c r="G103" s="101"/>
      <c r="H103" s="98"/>
      <c r="I103" s="98"/>
      <c r="J103" s="102"/>
      <c r="K103" s="17"/>
    </row>
    <row r="104" spans="1:11">
      <c r="A104" s="98">
        <v>98</v>
      </c>
      <c r="B104" s="98"/>
      <c r="C104" s="98"/>
      <c r="D104" s="98"/>
      <c r="E104" s="99"/>
      <c r="F104" s="100"/>
      <c r="G104" s="101"/>
      <c r="H104" s="98"/>
      <c r="I104" s="98"/>
      <c r="J104" s="102"/>
      <c r="K104" s="17"/>
    </row>
    <row r="105" spans="1:11">
      <c r="A105" s="98">
        <v>99</v>
      </c>
      <c r="B105" s="98"/>
      <c r="C105" s="98"/>
      <c r="D105" s="98"/>
      <c r="E105" s="99"/>
      <c r="F105" s="100"/>
      <c r="G105" s="101"/>
      <c r="H105" s="98"/>
      <c r="I105" s="98"/>
      <c r="J105" s="102"/>
      <c r="K105" s="17"/>
    </row>
    <row r="106" spans="1:11">
      <c r="A106" s="98">
        <v>100</v>
      </c>
      <c r="B106" s="98"/>
      <c r="C106" s="98"/>
      <c r="D106" s="98"/>
      <c r="E106" s="99"/>
      <c r="F106" s="100"/>
      <c r="G106" s="101"/>
      <c r="H106" s="98"/>
      <c r="I106" s="98"/>
      <c r="J106" s="102"/>
      <c r="K106" s="17"/>
    </row>
    <row r="107" spans="1:11">
      <c r="A107" s="98">
        <v>101</v>
      </c>
      <c r="B107" s="98"/>
      <c r="C107" s="98"/>
      <c r="D107" s="98"/>
      <c r="E107" s="99"/>
      <c r="F107" s="100"/>
      <c r="G107" s="101"/>
      <c r="H107" s="98"/>
      <c r="I107" s="98"/>
      <c r="J107" s="102"/>
      <c r="K107" s="17"/>
    </row>
    <row r="108" spans="1:11">
      <c r="A108" s="98">
        <v>102</v>
      </c>
      <c r="B108" s="98"/>
      <c r="C108" s="98"/>
      <c r="D108" s="98"/>
      <c r="E108" s="99"/>
      <c r="F108" s="100"/>
      <c r="G108" s="101"/>
      <c r="H108" s="98"/>
      <c r="I108" s="98"/>
      <c r="J108" s="102"/>
      <c r="K108" s="17"/>
    </row>
    <row r="109" spans="1:11">
      <c r="A109" s="98">
        <v>103</v>
      </c>
      <c r="B109" s="98"/>
      <c r="C109" s="98"/>
      <c r="D109" s="98"/>
      <c r="E109" s="99"/>
      <c r="F109" s="100"/>
      <c r="G109" s="101"/>
      <c r="H109" s="98"/>
      <c r="I109" s="98"/>
      <c r="J109" s="102"/>
      <c r="K109" s="17"/>
    </row>
    <row r="110" spans="1:11">
      <c r="A110" s="98">
        <v>104</v>
      </c>
      <c r="B110" s="98"/>
      <c r="C110" s="98"/>
      <c r="D110" s="98"/>
      <c r="E110" s="99"/>
      <c r="F110" s="100"/>
      <c r="G110" s="101"/>
      <c r="H110" s="98"/>
      <c r="I110" s="98"/>
      <c r="J110" s="102"/>
      <c r="K110" s="17"/>
    </row>
    <row r="111" spans="1:11">
      <c r="A111" s="98">
        <v>105</v>
      </c>
      <c r="B111" s="98"/>
      <c r="C111" s="98"/>
      <c r="D111" s="98"/>
      <c r="E111" s="99"/>
      <c r="F111" s="100"/>
      <c r="G111" s="101"/>
      <c r="H111" s="98"/>
      <c r="I111" s="98"/>
      <c r="J111" s="102"/>
      <c r="K111" s="17"/>
    </row>
    <row r="112" spans="1:11">
      <c r="A112" s="98">
        <v>106</v>
      </c>
      <c r="B112" s="98"/>
      <c r="C112" s="98"/>
      <c r="D112" s="98"/>
      <c r="E112" s="99"/>
      <c r="F112" s="100"/>
      <c r="G112" s="101"/>
      <c r="H112" s="98"/>
      <c r="I112" s="98"/>
      <c r="J112" s="102"/>
      <c r="K112" s="17"/>
    </row>
    <row r="113" spans="1:11">
      <c r="A113" s="98">
        <v>107</v>
      </c>
      <c r="B113" s="98"/>
      <c r="C113" s="98"/>
      <c r="D113" s="98"/>
      <c r="E113" s="99"/>
      <c r="F113" s="100"/>
      <c r="G113" s="101"/>
      <c r="H113" s="98"/>
      <c r="I113" s="98"/>
      <c r="J113" s="102"/>
      <c r="K113" s="17"/>
    </row>
    <row r="114" spans="1:11">
      <c r="A114" s="98">
        <v>108</v>
      </c>
      <c r="B114" s="98"/>
      <c r="C114" s="98"/>
      <c r="D114" s="98"/>
      <c r="E114" s="99"/>
      <c r="F114" s="100"/>
      <c r="G114" s="101"/>
      <c r="H114" s="98"/>
      <c r="I114" s="98"/>
      <c r="J114" s="102"/>
      <c r="K114" s="17"/>
    </row>
    <row r="115" spans="1:11">
      <c r="A115" s="103"/>
      <c r="B115" s="206" t="s">
        <v>98</v>
      </c>
      <c r="C115" s="206"/>
      <c r="D115" s="103"/>
      <c r="E115" s="104"/>
      <c r="F115" s="105">
        <f>SUM(F7:F114)</f>
        <v>5207000</v>
      </c>
      <c r="G115" s="106">
        <f>SUM(G7:G114)</f>
        <v>0</v>
      </c>
      <c r="H115" s="103"/>
      <c r="I115" s="103"/>
      <c r="J115" s="107"/>
      <c r="K115" s="108"/>
    </row>
    <row r="116" spans="1:11">
      <c r="A116" s="109"/>
      <c r="B116" s="109"/>
      <c r="C116" s="109"/>
      <c r="D116" s="109"/>
      <c r="E116" s="110"/>
      <c r="F116" s="111"/>
      <c r="G116" s="112"/>
      <c r="H116" s="109"/>
      <c r="I116" s="109"/>
      <c r="J116" s="113"/>
    </row>
    <row r="117" spans="1:11">
      <c r="A117" s="109"/>
      <c r="B117" s="109"/>
      <c r="C117" s="109"/>
      <c r="D117" s="109"/>
      <c r="E117" s="110"/>
      <c r="F117" s="111"/>
      <c r="G117" s="112"/>
      <c r="H117" s="109"/>
      <c r="I117" s="109"/>
      <c r="J117" s="113"/>
    </row>
    <row r="118" spans="1:11">
      <c r="A118" s="109"/>
      <c r="B118" s="109"/>
      <c r="C118" s="109"/>
      <c r="D118" s="109"/>
      <c r="E118" s="110"/>
      <c r="F118" s="111"/>
      <c r="G118" s="112"/>
      <c r="H118" s="109"/>
      <c r="I118" s="109"/>
      <c r="J118" s="113"/>
    </row>
    <row r="119" spans="1:11">
      <c r="A119" s="109"/>
      <c r="B119" s="109"/>
      <c r="C119" s="109"/>
      <c r="D119" s="109"/>
      <c r="E119" s="110"/>
      <c r="F119" s="111"/>
      <c r="G119" s="112"/>
      <c r="H119" s="109"/>
      <c r="I119" s="109"/>
      <c r="J119" s="113"/>
    </row>
    <row r="120" spans="1:11">
      <c r="A120" s="109"/>
      <c r="B120" s="109"/>
      <c r="C120" s="109"/>
      <c r="D120" s="109"/>
      <c r="E120" s="110"/>
      <c r="F120" s="111"/>
      <c r="G120" s="112"/>
      <c r="H120" s="109"/>
      <c r="I120" s="109"/>
      <c r="J120" s="113"/>
    </row>
    <row r="121" spans="1:11">
      <c r="A121" s="109"/>
      <c r="B121" s="109"/>
      <c r="C121" s="109"/>
      <c r="D121" s="109"/>
      <c r="E121" s="110"/>
      <c r="F121" s="111"/>
      <c r="G121" s="112"/>
      <c r="H121" s="109"/>
      <c r="I121" s="109"/>
      <c r="J121" s="113"/>
    </row>
    <row r="122" spans="1:11">
      <c r="A122" s="109"/>
      <c r="B122" s="109"/>
      <c r="C122" s="109"/>
      <c r="D122" s="109"/>
      <c r="E122" s="110"/>
      <c r="F122" s="111"/>
      <c r="G122" s="112"/>
      <c r="H122" s="109"/>
      <c r="I122" s="109"/>
      <c r="J122" s="113"/>
    </row>
    <row r="123" spans="1:11">
      <c r="A123" s="109"/>
      <c r="B123" s="109"/>
      <c r="C123" s="109"/>
      <c r="D123" s="109"/>
      <c r="E123" s="110"/>
      <c r="F123" s="111"/>
      <c r="G123" s="112"/>
      <c r="H123" s="109"/>
      <c r="I123" s="109"/>
      <c r="J123" s="113"/>
    </row>
    <row r="124" spans="1:11">
      <c r="A124" s="109"/>
      <c r="B124" s="109"/>
      <c r="C124" s="109"/>
      <c r="D124" s="109"/>
      <c r="E124" s="110"/>
      <c r="F124" s="111"/>
      <c r="G124" s="112"/>
      <c r="H124" s="109"/>
      <c r="I124" s="109"/>
      <c r="J124" s="113"/>
    </row>
    <row r="125" spans="1:11">
      <c r="A125" s="109"/>
      <c r="B125" s="109"/>
      <c r="C125" s="109"/>
      <c r="D125" s="109"/>
      <c r="E125" s="110"/>
      <c r="F125" s="111"/>
      <c r="G125" s="112"/>
      <c r="H125" s="109"/>
      <c r="I125" s="109"/>
      <c r="J125" s="113"/>
    </row>
    <row r="126" spans="1:11">
      <c r="A126" s="109"/>
      <c r="B126" s="109"/>
      <c r="C126" s="109"/>
      <c r="D126" s="109"/>
      <c r="E126" s="110"/>
      <c r="F126" s="111"/>
      <c r="G126" s="112"/>
      <c r="H126" s="109"/>
      <c r="I126" s="109"/>
      <c r="J126" s="113"/>
    </row>
    <row r="127" spans="1:11">
      <c r="A127" s="109"/>
      <c r="B127" s="109"/>
      <c r="C127" s="109"/>
      <c r="D127" s="109"/>
      <c r="E127" s="110"/>
      <c r="F127" s="111"/>
      <c r="G127" s="112"/>
      <c r="H127" s="109"/>
      <c r="I127" s="109"/>
      <c r="J127" s="113"/>
    </row>
    <row r="128" spans="1:11">
      <c r="A128" s="109"/>
      <c r="B128" s="109"/>
      <c r="C128" s="109"/>
      <c r="D128" s="109"/>
      <c r="E128" s="110"/>
      <c r="F128" s="111"/>
      <c r="G128" s="112"/>
      <c r="H128" s="109"/>
      <c r="I128" s="109"/>
      <c r="J128" s="113"/>
    </row>
    <row r="129" spans="1:10">
      <c r="A129" s="109"/>
      <c r="B129" s="109"/>
      <c r="C129" s="109"/>
      <c r="D129" s="109"/>
      <c r="E129" s="110"/>
      <c r="F129" s="111"/>
      <c r="G129" s="112"/>
      <c r="H129" s="109"/>
      <c r="I129" s="109"/>
      <c r="J129" s="113"/>
    </row>
    <row r="130" spans="1:10">
      <c r="A130" s="109"/>
      <c r="B130" s="109"/>
      <c r="C130" s="109"/>
      <c r="D130" s="109"/>
      <c r="E130" s="110"/>
      <c r="F130" s="111"/>
      <c r="G130" s="112"/>
      <c r="H130" s="109"/>
      <c r="I130" s="109"/>
      <c r="J130" s="113"/>
    </row>
    <row r="131" spans="1:10">
      <c r="A131" s="109"/>
      <c r="B131" s="109"/>
      <c r="C131" s="109"/>
      <c r="D131" s="109"/>
      <c r="E131" s="110"/>
      <c r="F131" s="111"/>
      <c r="G131" s="112"/>
      <c r="H131" s="109"/>
      <c r="I131" s="109"/>
      <c r="J131" s="113"/>
    </row>
    <row r="132" spans="1:10">
      <c r="A132" s="109"/>
      <c r="B132" s="109"/>
      <c r="C132" s="109"/>
      <c r="D132" s="109"/>
      <c r="E132" s="110"/>
      <c r="F132" s="111"/>
      <c r="G132" s="112"/>
      <c r="H132" s="109"/>
      <c r="I132" s="109"/>
      <c r="J132" s="113"/>
    </row>
    <row r="133" spans="1:10">
      <c r="A133" s="109"/>
      <c r="B133" s="109"/>
      <c r="C133" s="109"/>
      <c r="D133" s="109"/>
      <c r="E133" s="110"/>
      <c r="F133" s="111"/>
      <c r="G133" s="112"/>
      <c r="H133" s="109"/>
      <c r="I133" s="109"/>
      <c r="J133" s="113"/>
    </row>
    <row r="134" spans="1:10">
      <c r="A134" s="109"/>
      <c r="B134" s="109"/>
      <c r="C134" s="109"/>
      <c r="D134" s="109"/>
      <c r="E134" s="110"/>
      <c r="F134" s="111"/>
      <c r="G134" s="112"/>
      <c r="H134" s="109"/>
      <c r="I134" s="109"/>
      <c r="J134" s="113"/>
    </row>
    <row r="135" spans="1:10">
      <c r="A135" s="109"/>
      <c r="B135" s="109"/>
      <c r="C135" s="109"/>
      <c r="D135" s="109"/>
      <c r="E135" s="110"/>
      <c r="F135" s="111"/>
      <c r="G135" s="112"/>
      <c r="H135" s="109"/>
      <c r="I135" s="109"/>
      <c r="J135" s="113"/>
    </row>
    <row r="136" spans="1:10">
      <c r="A136" s="109"/>
      <c r="B136" s="109"/>
      <c r="C136" s="109"/>
      <c r="D136" s="109"/>
      <c r="E136" s="110"/>
      <c r="F136" s="111"/>
      <c r="G136" s="112"/>
      <c r="H136" s="109"/>
      <c r="I136" s="109"/>
      <c r="J136" s="113"/>
    </row>
    <row r="137" spans="1:10">
      <c r="A137" s="109"/>
      <c r="B137" s="109"/>
      <c r="C137" s="109"/>
      <c r="D137" s="109"/>
      <c r="E137" s="110"/>
      <c r="F137" s="111"/>
      <c r="G137" s="112"/>
      <c r="H137" s="109"/>
      <c r="I137" s="109"/>
      <c r="J137" s="113"/>
    </row>
    <row r="138" spans="1:10">
      <c r="A138" s="109"/>
      <c r="B138" s="109"/>
      <c r="C138" s="109"/>
      <c r="D138" s="109"/>
      <c r="E138" s="110"/>
      <c r="F138" s="111"/>
      <c r="G138" s="112"/>
      <c r="H138" s="109"/>
      <c r="I138" s="109"/>
      <c r="J138" s="113"/>
    </row>
    <row r="139" spans="1:10">
      <c r="A139" s="109"/>
      <c r="B139" s="109"/>
      <c r="C139" s="109"/>
      <c r="D139" s="109"/>
      <c r="E139" s="110"/>
      <c r="F139" s="111"/>
      <c r="G139" s="112"/>
      <c r="H139" s="109"/>
      <c r="I139" s="109"/>
      <c r="J139" s="113"/>
    </row>
    <row r="140" spans="1:10">
      <c r="A140" s="109"/>
      <c r="B140" s="109"/>
      <c r="C140" s="109"/>
      <c r="D140" s="109"/>
      <c r="E140" s="110"/>
      <c r="F140" s="111"/>
      <c r="G140" s="112"/>
      <c r="H140" s="109"/>
      <c r="I140" s="109"/>
      <c r="J140" s="113"/>
    </row>
    <row r="141" spans="1:10">
      <c r="A141" s="109"/>
      <c r="B141" s="109"/>
      <c r="C141" s="109"/>
      <c r="D141" s="109"/>
      <c r="E141" s="110"/>
      <c r="F141" s="111"/>
      <c r="G141" s="112"/>
      <c r="H141" s="109"/>
      <c r="I141" s="109"/>
      <c r="J141" s="113"/>
    </row>
    <row r="142" spans="1:10">
      <c r="A142" s="109"/>
      <c r="B142" s="109"/>
      <c r="C142" s="109"/>
      <c r="D142" s="109"/>
      <c r="E142" s="110"/>
      <c r="F142" s="111"/>
      <c r="G142" s="112"/>
      <c r="H142" s="109"/>
      <c r="I142" s="109"/>
      <c r="J142" s="113"/>
    </row>
    <row r="143" spans="1:10">
      <c r="A143" s="109"/>
      <c r="B143" s="109"/>
      <c r="C143" s="109"/>
      <c r="D143" s="109"/>
      <c r="E143" s="110"/>
      <c r="F143" s="111"/>
      <c r="G143" s="112"/>
      <c r="H143" s="109"/>
      <c r="I143" s="109"/>
      <c r="J143" s="113"/>
    </row>
    <row r="144" spans="1:10">
      <c r="A144" s="109"/>
      <c r="B144" s="109"/>
      <c r="C144" s="109"/>
      <c r="D144" s="109"/>
      <c r="E144" s="110"/>
      <c r="F144" s="111"/>
      <c r="G144" s="112"/>
      <c r="H144" s="109"/>
      <c r="I144" s="109"/>
      <c r="J144" s="113"/>
    </row>
    <row r="145" spans="1:10">
      <c r="A145" s="109"/>
      <c r="B145" s="109"/>
      <c r="C145" s="109"/>
      <c r="D145" s="109"/>
      <c r="E145" s="110"/>
      <c r="F145" s="111"/>
      <c r="G145" s="112"/>
      <c r="H145" s="109"/>
      <c r="I145" s="109"/>
      <c r="J145" s="113"/>
    </row>
    <row r="146" spans="1:10">
      <c r="A146" s="109"/>
      <c r="B146" s="109"/>
      <c r="C146" s="109"/>
      <c r="D146" s="109"/>
      <c r="E146" s="110"/>
      <c r="F146" s="111"/>
      <c r="G146" s="112"/>
      <c r="H146" s="109"/>
      <c r="I146" s="109"/>
      <c r="J146" s="113"/>
    </row>
    <row r="147" spans="1:10">
      <c r="A147" s="109"/>
      <c r="B147" s="109"/>
      <c r="C147" s="109"/>
      <c r="D147" s="109"/>
      <c r="E147" s="110"/>
      <c r="F147" s="111"/>
      <c r="G147" s="112"/>
      <c r="H147" s="109"/>
      <c r="I147" s="109"/>
      <c r="J147" s="113"/>
    </row>
    <row r="148" spans="1:10">
      <c r="A148" s="109"/>
      <c r="B148" s="109"/>
      <c r="C148" s="109"/>
      <c r="D148" s="109"/>
      <c r="E148" s="110"/>
      <c r="F148" s="111"/>
      <c r="G148" s="112"/>
      <c r="H148" s="109"/>
      <c r="I148" s="109"/>
      <c r="J148" s="113"/>
    </row>
    <row r="149" spans="1:10">
      <c r="A149" s="109"/>
      <c r="B149" s="109"/>
      <c r="C149" s="109"/>
      <c r="D149" s="109"/>
      <c r="E149" s="110"/>
      <c r="F149" s="111"/>
      <c r="G149" s="112"/>
      <c r="H149" s="109"/>
      <c r="I149" s="109"/>
      <c r="J149" s="113"/>
    </row>
    <row r="150" spans="1:10">
      <c r="A150" s="109"/>
      <c r="B150" s="109"/>
      <c r="C150" s="109"/>
      <c r="D150" s="109"/>
      <c r="E150" s="110"/>
      <c r="F150" s="111"/>
      <c r="G150" s="112"/>
      <c r="H150" s="109"/>
      <c r="I150" s="109"/>
      <c r="J150" s="113"/>
    </row>
    <row r="151" spans="1:10">
      <c r="A151" s="109"/>
      <c r="B151" s="109"/>
      <c r="C151" s="109"/>
      <c r="D151" s="109"/>
      <c r="E151" s="110"/>
      <c r="F151" s="111"/>
      <c r="G151" s="112"/>
      <c r="H151" s="109"/>
      <c r="I151" s="109"/>
      <c r="J151" s="113"/>
    </row>
    <row r="152" spans="1:10">
      <c r="A152" s="109"/>
      <c r="B152" s="109"/>
      <c r="C152" s="109"/>
      <c r="D152" s="109"/>
      <c r="E152" s="110"/>
      <c r="F152" s="111"/>
      <c r="G152" s="112"/>
      <c r="H152" s="109"/>
      <c r="I152" s="109"/>
      <c r="J152" s="113"/>
    </row>
    <row r="153" spans="1:10">
      <c r="A153" s="109"/>
      <c r="B153" s="109"/>
      <c r="C153" s="109"/>
      <c r="D153" s="109"/>
      <c r="E153" s="110"/>
      <c r="F153" s="111"/>
      <c r="G153" s="112"/>
      <c r="H153" s="109"/>
      <c r="I153" s="109"/>
      <c r="J153" s="113"/>
    </row>
    <row r="154" spans="1:10">
      <c r="A154" s="109"/>
      <c r="B154" s="109"/>
      <c r="C154" s="109"/>
      <c r="D154" s="109"/>
      <c r="E154" s="110"/>
      <c r="F154" s="111"/>
      <c r="G154" s="112"/>
      <c r="H154" s="109"/>
      <c r="I154" s="109"/>
      <c r="J154" s="113"/>
    </row>
    <row r="155" spans="1:10">
      <c r="A155" s="109"/>
      <c r="B155" s="109"/>
      <c r="C155" s="109"/>
      <c r="D155" s="109"/>
      <c r="E155" s="110"/>
      <c r="F155" s="111"/>
      <c r="G155" s="112"/>
      <c r="H155" s="109"/>
      <c r="I155" s="109"/>
      <c r="J155" s="113"/>
    </row>
    <row r="156" spans="1:10">
      <c r="A156" s="109"/>
      <c r="B156" s="109"/>
      <c r="C156" s="109"/>
      <c r="D156" s="109"/>
      <c r="E156" s="110"/>
      <c r="F156" s="111"/>
      <c r="G156" s="112"/>
      <c r="H156" s="109"/>
      <c r="I156" s="109"/>
      <c r="J156" s="113"/>
    </row>
    <row r="157" spans="1:10">
      <c r="A157" s="109"/>
      <c r="B157" s="109"/>
      <c r="C157" s="109"/>
      <c r="D157" s="109"/>
      <c r="E157" s="110"/>
      <c r="F157" s="111"/>
      <c r="G157" s="112"/>
      <c r="H157" s="109"/>
      <c r="I157" s="109"/>
      <c r="J157" s="113"/>
    </row>
    <row r="158" spans="1:10">
      <c r="A158" s="109"/>
      <c r="B158" s="109"/>
      <c r="C158" s="109"/>
      <c r="D158" s="109"/>
      <c r="E158" s="110"/>
      <c r="F158" s="111"/>
      <c r="G158" s="112"/>
      <c r="H158" s="109"/>
      <c r="I158" s="109"/>
      <c r="J158" s="113"/>
    </row>
    <row r="159" spans="1:10">
      <c r="A159" s="109"/>
      <c r="B159" s="109"/>
      <c r="C159" s="109"/>
      <c r="D159" s="109"/>
      <c r="E159" s="110"/>
      <c r="F159" s="111"/>
      <c r="G159" s="112"/>
      <c r="H159" s="109"/>
      <c r="I159" s="109"/>
      <c r="J159" s="113"/>
    </row>
    <row r="160" spans="1:10">
      <c r="A160" s="109"/>
      <c r="B160" s="109"/>
      <c r="C160" s="109"/>
      <c r="D160" s="109"/>
      <c r="E160" s="110"/>
      <c r="F160" s="111"/>
      <c r="G160" s="112"/>
      <c r="H160" s="109"/>
      <c r="I160" s="109"/>
      <c r="J160" s="113"/>
    </row>
    <row r="161" spans="1:10">
      <c r="A161" s="109"/>
      <c r="B161" s="109"/>
      <c r="C161" s="109"/>
      <c r="D161" s="109"/>
      <c r="E161" s="110"/>
      <c r="F161" s="111"/>
      <c r="G161" s="112"/>
      <c r="H161" s="109"/>
      <c r="I161" s="109"/>
      <c r="J161" s="113"/>
    </row>
    <row r="162" spans="1:10">
      <c r="A162" s="109"/>
      <c r="B162" s="109"/>
      <c r="C162" s="109"/>
      <c r="D162" s="109"/>
      <c r="E162" s="110"/>
      <c r="F162" s="111"/>
      <c r="G162" s="112"/>
      <c r="H162" s="109"/>
      <c r="I162" s="109"/>
      <c r="J162" s="113"/>
    </row>
    <row r="163" spans="1:10">
      <c r="A163" s="109"/>
      <c r="B163" s="109"/>
      <c r="C163" s="109"/>
      <c r="D163" s="109"/>
      <c r="E163" s="110"/>
      <c r="F163" s="111"/>
      <c r="G163" s="112"/>
      <c r="H163" s="109"/>
      <c r="I163" s="109"/>
      <c r="J163" s="113"/>
    </row>
    <row r="164" spans="1:10">
      <c r="A164" s="109"/>
      <c r="B164" s="109"/>
      <c r="C164" s="109"/>
      <c r="D164" s="109"/>
      <c r="E164" s="110"/>
      <c r="F164" s="111"/>
      <c r="G164" s="112"/>
      <c r="H164" s="109"/>
      <c r="I164" s="109"/>
      <c r="J164" s="113"/>
    </row>
    <row r="165" spans="1:10">
      <c r="J165" s="115"/>
    </row>
    <row r="166" spans="1:10">
      <c r="J166" s="115"/>
    </row>
    <row r="167" spans="1:10">
      <c r="J167" s="115"/>
    </row>
    <row r="168" spans="1:10">
      <c r="J168" s="115"/>
    </row>
    <row r="169" spans="1:10">
      <c r="J169" s="115"/>
    </row>
    <row r="170" spans="1:10">
      <c r="J170" s="115"/>
    </row>
    <row r="171" spans="1:10">
      <c r="J171" s="115"/>
    </row>
    <row r="172" spans="1:10">
      <c r="J172" s="115"/>
    </row>
    <row r="173" spans="1:10">
      <c r="J173" s="115"/>
    </row>
    <row r="174" spans="1:10">
      <c r="J174" s="115"/>
    </row>
    <row r="175" spans="1:10">
      <c r="J175" s="115"/>
    </row>
    <row r="176" spans="1:10">
      <c r="J176" s="115"/>
    </row>
    <row r="177" spans="10:10">
      <c r="J177" s="115"/>
    </row>
    <row r="178" spans="10:10">
      <c r="J178" s="115"/>
    </row>
    <row r="179" spans="10:10">
      <c r="J179" s="115"/>
    </row>
    <row r="180" spans="10:10">
      <c r="J180" s="115"/>
    </row>
    <row r="181" spans="10:10">
      <c r="J181" s="115"/>
    </row>
    <row r="182" spans="10:10">
      <c r="J182" s="115"/>
    </row>
    <row r="183" spans="10:10">
      <c r="J183" s="115"/>
    </row>
    <row r="184" spans="10:10">
      <c r="J184" s="115"/>
    </row>
    <row r="185" spans="10:10">
      <c r="J185" s="115"/>
    </row>
    <row r="186" spans="10:10">
      <c r="J186" s="115"/>
    </row>
    <row r="187" spans="10:10">
      <c r="J187" s="115"/>
    </row>
    <row r="188" spans="10:10">
      <c r="J188" s="115"/>
    </row>
    <row r="189" spans="10:10">
      <c r="J189" s="115"/>
    </row>
    <row r="190" spans="10:10">
      <c r="J190" s="115"/>
    </row>
    <row r="191" spans="10:10">
      <c r="J191" s="115"/>
    </row>
    <row r="192" spans="10:10">
      <c r="J192" s="115"/>
    </row>
    <row r="193" spans="10:10">
      <c r="J193" s="115"/>
    </row>
    <row r="194" spans="10:10">
      <c r="J194" s="115"/>
    </row>
    <row r="195" spans="10:10">
      <c r="J195" s="115"/>
    </row>
    <row r="196" spans="10:10">
      <c r="J196" s="115"/>
    </row>
    <row r="197" spans="10:10">
      <c r="J197" s="115"/>
    </row>
    <row r="198" spans="10:10">
      <c r="J198" s="115"/>
    </row>
    <row r="199" spans="10:10">
      <c r="J199" s="115"/>
    </row>
    <row r="200" spans="10:10">
      <c r="J200" s="115"/>
    </row>
    <row r="201" spans="10:10">
      <c r="J201" s="115"/>
    </row>
    <row r="202" spans="10:10">
      <c r="J202" s="115"/>
    </row>
    <row r="203" spans="10:10">
      <c r="J203" s="115"/>
    </row>
    <row r="204" spans="10:10">
      <c r="J204" s="115"/>
    </row>
    <row r="205" spans="10:10">
      <c r="J205" s="115"/>
    </row>
    <row r="206" spans="10:10">
      <c r="J206" s="115"/>
    </row>
    <row r="207" spans="10:10">
      <c r="J207" s="115"/>
    </row>
  </sheetData>
  <mergeCells count="3">
    <mergeCell ref="A1:K1"/>
    <mergeCell ref="B2:C2"/>
    <mergeCell ref="B115:C115"/>
  </mergeCells>
  <hyperlinks>
    <hyperlink ref="K2" location="الاليات!A1" display="الاليات " xr:uid="{00000000-0004-0000-1C00-000000000000}"/>
  </hyperlinks>
  <pageMargins left="0.7" right="0.7" top="0.75" bottom="0.75" header="0.3" footer="0.3"/>
  <pageSetup paperSize="9" scale="2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18"/>
  <sheetViews>
    <sheetView rightToLeft="1" zoomScale="140" zoomScaleNormal="140" workbookViewId="0">
      <selection activeCell="K2" sqref="K2"/>
    </sheetView>
  </sheetViews>
  <sheetFormatPr defaultColWidth="3.33203125" defaultRowHeight="17.399999999999999"/>
  <cols>
    <col min="1" max="1" width="3.44140625" style="1" bestFit="1" customWidth="1"/>
    <col min="2" max="2" width="12.6640625" style="1" bestFit="1" customWidth="1"/>
    <col min="3" max="3" width="15.77734375" style="1" bestFit="1" customWidth="1"/>
    <col min="4" max="4" width="12.88671875" style="1" bestFit="1" customWidth="1"/>
    <col min="5" max="5" width="23" style="73" customWidth="1"/>
    <col min="6" max="6" width="15.21875" style="114" bestFit="1" customWidth="1"/>
    <col min="7" max="7" width="3.5546875" style="79" bestFit="1" customWidth="1"/>
    <col min="8" max="8" width="13.44140625" style="1" bestFit="1" customWidth="1"/>
    <col min="9" max="9" width="7" style="1" bestFit="1" customWidth="1"/>
    <col min="10" max="10" width="3.21875" style="1" bestFit="1" customWidth="1"/>
    <col min="11" max="11" width="16.88671875" style="1" bestFit="1" customWidth="1"/>
    <col min="12" max="16384" width="3.3320312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27</v>
      </c>
      <c r="B2" s="202" t="s">
        <v>61</v>
      </c>
      <c r="C2" s="203"/>
      <c r="D2" s="85"/>
      <c r="E2" s="86" t="s">
        <v>8</v>
      </c>
      <c r="F2" s="87">
        <v>2019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83" t="s">
        <v>866</v>
      </c>
      <c r="D3" s="89"/>
      <c r="E3" s="86" t="s">
        <v>68</v>
      </c>
      <c r="F3" s="140" t="s">
        <v>70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89" t="s">
        <v>94</v>
      </c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 t="s">
        <v>95</v>
      </c>
      <c r="F5" s="142"/>
      <c r="G5" s="92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17">
        <v>1</v>
      </c>
      <c r="B7" s="17" t="s">
        <v>75</v>
      </c>
      <c r="C7" s="17">
        <v>4266</v>
      </c>
      <c r="D7" s="130">
        <v>45047</v>
      </c>
      <c r="E7" s="18" t="s">
        <v>135</v>
      </c>
      <c r="F7" s="132">
        <v>285000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 t="s">
        <v>140</v>
      </c>
      <c r="C8" s="17"/>
      <c r="D8" s="130">
        <v>45073</v>
      </c>
      <c r="E8" s="18" t="s">
        <v>232</v>
      </c>
      <c r="F8" s="132">
        <v>60000</v>
      </c>
      <c r="G8" s="25"/>
      <c r="H8" s="17" t="s">
        <v>121</v>
      </c>
      <c r="I8" s="17"/>
      <c r="J8" s="117"/>
      <c r="K8" s="17"/>
    </row>
    <row r="9" spans="1:11" ht="34.799999999999997">
      <c r="A9" s="17">
        <v>3</v>
      </c>
      <c r="B9" s="17" t="s">
        <v>140</v>
      </c>
      <c r="C9" s="17"/>
      <c r="D9" s="130">
        <v>45173</v>
      </c>
      <c r="E9" s="18" t="s">
        <v>246</v>
      </c>
      <c r="F9" s="132">
        <v>110500</v>
      </c>
      <c r="G9" s="25"/>
      <c r="H9" s="17" t="s">
        <v>121</v>
      </c>
      <c r="I9" s="17"/>
      <c r="J9" s="117"/>
      <c r="K9" s="17"/>
    </row>
    <row r="10" spans="1:11">
      <c r="A10" s="17">
        <v>4</v>
      </c>
      <c r="B10" s="17" t="s">
        <v>140</v>
      </c>
      <c r="C10" s="17"/>
      <c r="D10" s="130">
        <v>45241</v>
      </c>
      <c r="E10" s="18" t="s">
        <v>127</v>
      </c>
      <c r="F10" s="132">
        <v>42000</v>
      </c>
      <c r="G10" s="25"/>
      <c r="H10" s="17" t="s">
        <v>121</v>
      </c>
      <c r="I10" s="17"/>
      <c r="J10" s="117"/>
      <c r="K10" s="17"/>
    </row>
    <row r="11" spans="1:11">
      <c r="A11" s="17">
        <v>5</v>
      </c>
      <c r="B11" s="17"/>
      <c r="C11" s="17">
        <v>5122</v>
      </c>
      <c r="D11" s="17" t="s">
        <v>313</v>
      </c>
      <c r="E11" s="18" t="s">
        <v>259</v>
      </c>
      <c r="F11" s="132">
        <v>200000</v>
      </c>
      <c r="G11" s="25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8" t="s">
        <v>325</v>
      </c>
      <c r="D12" s="133">
        <v>45023</v>
      </c>
      <c r="E12" s="18" t="s">
        <v>327</v>
      </c>
      <c r="F12" s="134">
        <v>64000</v>
      </c>
      <c r="G12" s="25"/>
      <c r="H12" s="17"/>
      <c r="I12" s="17"/>
      <c r="J12" s="117"/>
      <c r="K12" s="17"/>
    </row>
    <row r="13" spans="1:11">
      <c r="A13" s="17">
        <v>7</v>
      </c>
      <c r="B13" s="17"/>
      <c r="C13" s="18" t="s">
        <v>330</v>
      </c>
      <c r="D13" s="133" t="s">
        <v>329</v>
      </c>
      <c r="E13" s="18" t="s">
        <v>135</v>
      </c>
      <c r="F13" s="134">
        <v>115000</v>
      </c>
      <c r="G13" s="25"/>
      <c r="H13" s="17"/>
      <c r="I13" s="17"/>
      <c r="J13" s="117"/>
      <c r="K13" s="17"/>
    </row>
    <row r="14" spans="1:11">
      <c r="A14" s="17">
        <v>8</v>
      </c>
      <c r="B14" s="17"/>
      <c r="C14" s="18" t="s">
        <v>330</v>
      </c>
      <c r="D14" s="133" t="s">
        <v>329</v>
      </c>
      <c r="E14" s="18" t="s">
        <v>135</v>
      </c>
      <c r="F14" s="134">
        <v>94000</v>
      </c>
      <c r="G14" s="25"/>
      <c r="H14" s="17"/>
      <c r="I14" s="17"/>
      <c r="J14" s="117"/>
      <c r="K14" s="17"/>
    </row>
    <row r="15" spans="1:11">
      <c r="A15" s="17">
        <v>9</v>
      </c>
      <c r="B15" s="17"/>
      <c r="C15" s="17" t="s">
        <v>353</v>
      </c>
      <c r="D15" s="130">
        <v>45270</v>
      </c>
      <c r="E15" s="18" t="s">
        <v>355</v>
      </c>
      <c r="F15" s="132">
        <v>35000</v>
      </c>
      <c r="G15" s="25"/>
      <c r="H15" s="17"/>
      <c r="I15" s="17"/>
      <c r="J15" s="117"/>
      <c r="K15" s="17"/>
    </row>
    <row r="16" spans="1:11">
      <c r="A16" s="17">
        <v>10</v>
      </c>
      <c r="B16" s="17"/>
      <c r="C16" s="17" t="s">
        <v>357</v>
      </c>
      <c r="D16" s="17" t="s">
        <v>151</v>
      </c>
      <c r="E16" s="18" t="s">
        <v>358</v>
      </c>
      <c r="F16" s="134">
        <v>78000</v>
      </c>
      <c r="G16" s="25"/>
      <c r="H16" s="17"/>
      <c r="I16" s="17"/>
      <c r="J16" s="117"/>
      <c r="K16" s="17"/>
    </row>
    <row r="17" spans="1:11">
      <c r="A17" s="17">
        <v>11</v>
      </c>
      <c r="B17" s="17"/>
      <c r="C17" s="17" t="s">
        <v>364</v>
      </c>
      <c r="D17" s="130">
        <v>45149</v>
      </c>
      <c r="E17" s="18" t="s">
        <v>367</v>
      </c>
      <c r="F17" s="134">
        <v>33000</v>
      </c>
      <c r="G17" s="25"/>
      <c r="H17" s="17"/>
      <c r="I17" s="17"/>
      <c r="J17" s="117"/>
      <c r="K17" s="17"/>
    </row>
    <row r="18" spans="1:11">
      <c r="A18" s="17">
        <v>12</v>
      </c>
      <c r="B18" s="17"/>
      <c r="C18" s="17">
        <v>6049</v>
      </c>
      <c r="D18" s="17" t="s">
        <v>401</v>
      </c>
      <c r="E18" s="18" t="s">
        <v>145</v>
      </c>
      <c r="F18" s="132">
        <v>75000</v>
      </c>
      <c r="G18" s="25"/>
      <c r="H18" s="17" t="s">
        <v>75</v>
      </c>
      <c r="I18" s="17"/>
      <c r="J18" s="117"/>
      <c r="K18" s="17"/>
    </row>
    <row r="19" spans="1:11" ht="34.799999999999997">
      <c r="A19" s="17">
        <v>13</v>
      </c>
      <c r="B19" s="17"/>
      <c r="C19" s="17">
        <v>7430</v>
      </c>
      <c r="D19" s="130">
        <v>45631</v>
      </c>
      <c r="E19" s="18" t="s">
        <v>633</v>
      </c>
      <c r="F19" s="24">
        <v>48000</v>
      </c>
      <c r="G19" s="116"/>
      <c r="H19" s="17" t="s">
        <v>75</v>
      </c>
      <c r="I19" s="17"/>
      <c r="J19" s="117"/>
      <c r="K19" s="17"/>
    </row>
    <row r="20" spans="1:11" ht="25.95" customHeight="1">
      <c r="A20" s="17">
        <v>14</v>
      </c>
      <c r="B20" s="17"/>
      <c r="C20" s="17">
        <v>8062</v>
      </c>
      <c r="D20" s="130">
        <v>45739</v>
      </c>
      <c r="E20" s="18" t="s">
        <v>734</v>
      </c>
      <c r="F20" s="24">
        <v>1028000</v>
      </c>
      <c r="G20" s="116"/>
      <c r="H20" s="17" t="s">
        <v>75</v>
      </c>
      <c r="I20" s="17"/>
      <c r="J20" s="117"/>
      <c r="K20" s="17"/>
    </row>
    <row r="21" spans="1:11">
      <c r="A21" s="17">
        <v>15</v>
      </c>
      <c r="B21" s="17"/>
      <c r="C21" s="99">
        <v>8806</v>
      </c>
      <c r="D21" s="136">
        <v>45791</v>
      </c>
      <c r="E21" s="99" t="s">
        <v>618</v>
      </c>
      <c r="F21" s="137">
        <v>170000</v>
      </c>
      <c r="G21" s="127"/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18">
        <v>8981</v>
      </c>
      <c r="D22" s="133">
        <v>45813</v>
      </c>
      <c r="E22" s="99" t="s">
        <v>618</v>
      </c>
      <c r="F22" s="134">
        <v>190000</v>
      </c>
      <c r="G22" s="116"/>
      <c r="H22" s="17" t="s">
        <v>75</v>
      </c>
      <c r="I22" s="17"/>
      <c r="J22" s="117"/>
      <c r="K22" s="17"/>
    </row>
    <row r="23" spans="1:11">
      <c r="A23" s="17">
        <v>17</v>
      </c>
      <c r="B23" s="17"/>
      <c r="C23" s="18">
        <v>960</v>
      </c>
      <c r="D23" s="133">
        <v>46358</v>
      </c>
      <c r="E23" s="18" t="s">
        <v>1200</v>
      </c>
      <c r="F23" s="134">
        <v>250000</v>
      </c>
      <c r="G23" s="25"/>
      <c r="H23" s="17" t="s">
        <v>75</v>
      </c>
      <c r="I23" s="17"/>
      <c r="J23" s="117"/>
      <c r="K23" s="17"/>
    </row>
    <row r="24" spans="1:11">
      <c r="A24" s="17">
        <v>18</v>
      </c>
      <c r="B24" s="17"/>
      <c r="C24" s="18">
        <v>1093</v>
      </c>
      <c r="D24" s="133">
        <v>46086</v>
      </c>
      <c r="E24" s="18" t="s">
        <v>1231</v>
      </c>
      <c r="F24" s="134">
        <v>50000</v>
      </c>
      <c r="G24" s="25"/>
      <c r="H24" s="17" t="s">
        <v>75</v>
      </c>
      <c r="I24" s="17"/>
      <c r="J24" s="117"/>
      <c r="K24" s="17"/>
    </row>
    <row r="25" spans="1:11">
      <c r="A25" s="17">
        <v>19</v>
      </c>
      <c r="B25" s="17"/>
      <c r="C25" s="17">
        <v>1281</v>
      </c>
      <c r="D25" s="17" t="s">
        <v>1256</v>
      </c>
      <c r="E25" s="18" t="s">
        <v>1264</v>
      </c>
      <c r="F25" s="132">
        <v>25000</v>
      </c>
      <c r="G25" s="116"/>
      <c r="H25" s="17" t="s">
        <v>75</v>
      </c>
      <c r="I25" s="17"/>
      <c r="J25" s="117"/>
      <c r="K25" s="17"/>
    </row>
    <row r="26" spans="1:11">
      <c r="A26" s="17">
        <v>20</v>
      </c>
      <c r="B26" s="17"/>
      <c r="C26" s="98">
        <v>1394</v>
      </c>
      <c r="D26" s="135">
        <v>46300</v>
      </c>
      <c r="E26" s="99" t="s">
        <v>618</v>
      </c>
      <c r="F26" s="100">
        <v>260000</v>
      </c>
      <c r="G26" s="127"/>
      <c r="H26" s="98" t="s">
        <v>75</v>
      </c>
      <c r="I26" s="17"/>
      <c r="J26" s="117"/>
      <c r="K26" s="17"/>
    </row>
    <row r="27" spans="1:11">
      <c r="A27" s="17">
        <v>21</v>
      </c>
      <c r="B27" s="17"/>
      <c r="C27" s="17">
        <v>1428</v>
      </c>
      <c r="D27" s="17" t="s">
        <v>1286</v>
      </c>
      <c r="E27" s="18" t="s">
        <v>368</v>
      </c>
      <c r="F27" s="132">
        <v>20000</v>
      </c>
      <c r="G27" s="25"/>
      <c r="H27" s="17" t="s">
        <v>75</v>
      </c>
      <c r="I27" s="17"/>
      <c r="J27" s="117"/>
      <c r="K27" s="17"/>
    </row>
    <row r="28" spans="1:11">
      <c r="A28" s="17">
        <v>22</v>
      </c>
      <c r="B28" s="17"/>
      <c r="C28" s="18"/>
      <c r="D28" s="133"/>
      <c r="E28" s="18"/>
      <c r="F28" s="134"/>
      <c r="G28" s="25"/>
      <c r="H28" s="17"/>
      <c r="I28" s="17"/>
      <c r="J28" s="117"/>
      <c r="K28" s="17"/>
    </row>
    <row r="29" spans="1:11">
      <c r="A29" s="17">
        <v>23</v>
      </c>
      <c r="B29" s="17"/>
      <c r="C29" s="18"/>
      <c r="D29" s="133"/>
      <c r="E29" s="18"/>
      <c r="F29" s="134"/>
      <c r="G29" s="25"/>
      <c r="H29" s="17"/>
      <c r="I29" s="17"/>
      <c r="J29" s="117"/>
      <c r="K29" s="17"/>
    </row>
    <row r="30" spans="1:11">
      <c r="A30" s="17">
        <v>24</v>
      </c>
      <c r="B30" s="17"/>
      <c r="C30" s="18"/>
      <c r="D30" s="133"/>
      <c r="E30" s="18"/>
      <c r="F30" s="134"/>
      <c r="G30" s="25"/>
      <c r="H30" s="17"/>
      <c r="I30" s="17"/>
      <c r="J30" s="117"/>
      <c r="K30" s="17"/>
    </row>
    <row r="31" spans="1:11">
      <c r="A31" s="17">
        <v>25</v>
      </c>
      <c r="B31" s="17"/>
      <c r="C31" s="18"/>
      <c r="D31" s="133"/>
      <c r="E31" s="18"/>
      <c r="F31" s="134"/>
      <c r="G31" s="25"/>
      <c r="H31" s="17"/>
      <c r="I31" s="17"/>
      <c r="J31" s="117"/>
      <c r="K31" s="17"/>
    </row>
    <row r="32" spans="1:11">
      <c r="A32" s="17">
        <v>26</v>
      </c>
      <c r="B32" s="17"/>
      <c r="C32" s="18"/>
      <c r="D32" s="133"/>
      <c r="E32" s="18"/>
      <c r="F32" s="134"/>
      <c r="G32" s="25"/>
      <c r="H32" s="17"/>
      <c r="I32" s="17"/>
      <c r="J32" s="117"/>
      <c r="K32" s="17"/>
    </row>
    <row r="33" spans="1:11">
      <c r="A33" s="17">
        <v>27</v>
      </c>
      <c r="B33" s="17"/>
      <c r="C33" s="18"/>
      <c r="D33" s="133"/>
      <c r="E33" s="18"/>
      <c r="F33" s="134"/>
      <c r="G33" s="25"/>
      <c r="H33" s="17"/>
      <c r="I33" s="17"/>
      <c r="J33" s="117"/>
      <c r="K33" s="17"/>
    </row>
    <row r="34" spans="1:11">
      <c r="A34" s="17">
        <v>28</v>
      </c>
      <c r="B34" s="17"/>
      <c r="C34" s="18"/>
      <c r="D34" s="133"/>
      <c r="E34" s="18"/>
      <c r="F34" s="134"/>
      <c r="G34" s="25"/>
      <c r="H34" s="17"/>
      <c r="I34" s="17"/>
      <c r="J34" s="117"/>
      <c r="K34" s="17"/>
    </row>
    <row r="35" spans="1:11">
      <c r="A35" s="17">
        <v>29</v>
      </c>
      <c r="B35" s="17"/>
      <c r="C35" s="18"/>
      <c r="D35" s="133"/>
      <c r="E35" s="18"/>
      <c r="F35" s="134"/>
      <c r="G35" s="25"/>
      <c r="H35" s="17"/>
      <c r="I35" s="17"/>
      <c r="J35" s="117"/>
      <c r="K35" s="17"/>
    </row>
    <row r="36" spans="1:11">
      <c r="A36" s="17">
        <v>30</v>
      </c>
      <c r="B36" s="17"/>
      <c r="C36" s="18"/>
      <c r="D36" s="133"/>
      <c r="E36" s="18"/>
      <c r="F36" s="134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08"/>
      <c r="B47" s="204" t="s">
        <v>98</v>
      </c>
      <c r="C47" s="204"/>
      <c r="D47" s="108"/>
      <c r="E47" s="118"/>
      <c r="F47" s="119">
        <f>SUM(F7:F46)</f>
        <v>3232500</v>
      </c>
      <c r="G47" s="120">
        <f>SUM(G7:G46)</f>
        <v>0</v>
      </c>
      <c r="H47" s="108"/>
      <c r="I47" s="108"/>
      <c r="J47" s="121"/>
      <c r="K47" s="108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47:C47"/>
  </mergeCells>
  <hyperlinks>
    <hyperlink ref="K2" location="الاليات!A1" display="الاليات " xr:uid="{00000000-0004-0000-1D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33203125" style="1" bestFit="1" customWidth="1"/>
    <col min="4" max="4" width="12.77734375" style="1" bestFit="1" customWidth="1"/>
    <col min="5" max="5" width="16.33203125" style="73" bestFit="1" customWidth="1"/>
    <col min="6" max="6" width="15.109375" style="114" bestFit="1" customWidth="1"/>
    <col min="7" max="7" width="6.21875" style="79" bestFit="1" customWidth="1"/>
    <col min="8" max="8" width="13.44140625" style="1" bestFit="1" customWidth="1"/>
    <col min="9" max="9" width="10.21875" style="1" bestFit="1" customWidth="1"/>
    <col min="10" max="10" width="4.777343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28</v>
      </c>
      <c r="B2" s="202" t="s">
        <v>61</v>
      </c>
      <c r="C2" s="203"/>
      <c r="D2" s="138"/>
      <c r="E2" s="86" t="s">
        <v>8</v>
      </c>
      <c r="F2" s="87">
        <v>2013</v>
      </c>
      <c r="G2" s="139"/>
      <c r="H2" s="89" t="s">
        <v>100</v>
      </c>
      <c r="I2" s="89"/>
      <c r="J2" s="17"/>
      <c r="K2" s="90" t="s">
        <v>102</v>
      </c>
    </row>
    <row r="3" spans="1:11">
      <c r="A3" s="35"/>
      <c r="B3" s="89" t="s">
        <v>99</v>
      </c>
      <c r="C3" s="123" t="s">
        <v>867</v>
      </c>
      <c r="D3" s="35"/>
      <c r="E3" s="86" t="s">
        <v>68</v>
      </c>
      <c r="F3" s="87" t="s">
        <v>70</v>
      </c>
      <c r="G3" s="139"/>
      <c r="H3" s="89" t="s">
        <v>824</v>
      </c>
      <c r="I3" s="89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 t="s">
        <v>95</v>
      </c>
      <c r="F5" s="142"/>
      <c r="G5" s="141"/>
      <c r="H5" s="17" t="s">
        <v>96</v>
      </c>
      <c r="I5" s="117">
        <f>MAX(J7:J141)</f>
        <v>0</v>
      </c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>
      <c r="A7" s="98">
        <v>1</v>
      </c>
      <c r="B7" s="98"/>
      <c r="C7" s="98" t="s">
        <v>265</v>
      </c>
      <c r="D7" s="135">
        <v>45019</v>
      </c>
      <c r="E7" s="99" t="s">
        <v>276</v>
      </c>
      <c r="F7" s="100">
        <v>35000</v>
      </c>
      <c r="G7" s="101"/>
      <c r="H7" s="98"/>
      <c r="I7" s="98"/>
      <c r="J7" s="102"/>
      <c r="K7" s="17"/>
    </row>
    <row r="8" spans="1:11">
      <c r="A8" s="98">
        <v>2</v>
      </c>
      <c r="B8" s="98"/>
      <c r="C8" s="98">
        <v>5122</v>
      </c>
      <c r="D8" s="98" t="s">
        <v>313</v>
      </c>
      <c r="E8" s="99" t="s">
        <v>259</v>
      </c>
      <c r="F8" s="100">
        <v>75000</v>
      </c>
      <c r="G8" s="101"/>
      <c r="H8" s="98" t="s">
        <v>75</v>
      </c>
      <c r="I8" s="98"/>
      <c r="J8" s="102"/>
      <c r="K8" s="17"/>
    </row>
    <row r="9" spans="1:11">
      <c r="A9" s="98">
        <v>3</v>
      </c>
      <c r="B9" s="98"/>
      <c r="C9" s="99" t="s">
        <v>330</v>
      </c>
      <c r="D9" s="136" t="s">
        <v>329</v>
      </c>
      <c r="E9" s="99" t="s">
        <v>135</v>
      </c>
      <c r="F9" s="100">
        <v>138000</v>
      </c>
      <c r="G9" s="101"/>
      <c r="H9" s="98"/>
      <c r="I9" s="98"/>
      <c r="J9" s="102"/>
      <c r="K9" s="17"/>
    </row>
    <row r="10" spans="1:11">
      <c r="A10" s="98">
        <v>4</v>
      </c>
      <c r="B10" s="98"/>
      <c r="C10" s="98" t="s">
        <v>333</v>
      </c>
      <c r="D10" s="135">
        <v>44993</v>
      </c>
      <c r="E10" s="99" t="s">
        <v>110</v>
      </c>
      <c r="F10" s="100">
        <v>62000</v>
      </c>
      <c r="G10" s="101"/>
      <c r="H10" s="98"/>
      <c r="I10" s="98"/>
      <c r="J10" s="102"/>
      <c r="K10" s="17"/>
    </row>
    <row r="11" spans="1:11">
      <c r="A11" s="98">
        <v>5</v>
      </c>
      <c r="B11" s="98"/>
      <c r="C11" s="98">
        <v>5350</v>
      </c>
      <c r="D11" s="135">
        <v>45146</v>
      </c>
      <c r="E11" s="99" t="s">
        <v>190</v>
      </c>
      <c r="F11" s="100">
        <v>725000</v>
      </c>
      <c r="G11" s="101"/>
      <c r="H11" s="98"/>
      <c r="I11" s="98"/>
      <c r="J11" s="102"/>
      <c r="K11" s="17"/>
    </row>
    <row r="12" spans="1:11">
      <c r="A12" s="98">
        <v>6</v>
      </c>
      <c r="B12" s="98"/>
      <c r="C12" s="98">
        <v>5365</v>
      </c>
      <c r="D12" s="135">
        <v>45268</v>
      </c>
      <c r="E12" s="99" t="s">
        <v>335</v>
      </c>
      <c r="F12" s="100">
        <v>50000</v>
      </c>
      <c r="G12" s="101"/>
      <c r="H12" s="98" t="s">
        <v>75</v>
      </c>
      <c r="I12" s="98"/>
      <c r="J12" s="102"/>
      <c r="K12" s="17"/>
    </row>
    <row r="13" spans="1:11">
      <c r="A13" s="98">
        <v>7</v>
      </c>
      <c r="B13" s="98"/>
      <c r="C13" s="98">
        <v>5365</v>
      </c>
      <c r="D13" s="135">
        <v>45268</v>
      </c>
      <c r="E13" s="99" t="s">
        <v>135</v>
      </c>
      <c r="F13" s="100">
        <v>370000</v>
      </c>
      <c r="G13" s="101"/>
      <c r="H13" s="98" t="s">
        <v>75</v>
      </c>
      <c r="I13" s="98"/>
      <c r="J13" s="102"/>
      <c r="K13" s="17"/>
    </row>
    <row r="14" spans="1:11">
      <c r="A14" s="98">
        <v>8</v>
      </c>
      <c r="B14" s="98"/>
      <c r="C14" s="98">
        <v>5365</v>
      </c>
      <c r="D14" s="135">
        <v>45268</v>
      </c>
      <c r="E14" s="99" t="s">
        <v>135</v>
      </c>
      <c r="F14" s="100">
        <v>280000</v>
      </c>
      <c r="G14" s="101"/>
      <c r="H14" s="98" t="s">
        <v>75</v>
      </c>
      <c r="I14" s="98"/>
      <c r="J14" s="102"/>
      <c r="K14" s="17"/>
    </row>
    <row r="15" spans="1:11">
      <c r="A15" s="98">
        <v>9</v>
      </c>
      <c r="B15" s="98"/>
      <c r="C15" s="98" t="s">
        <v>344</v>
      </c>
      <c r="D15" s="135" t="s">
        <v>345</v>
      </c>
      <c r="E15" s="99" t="s">
        <v>347</v>
      </c>
      <c r="F15" s="100">
        <v>25000</v>
      </c>
      <c r="G15" s="101"/>
      <c r="H15" s="98"/>
      <c r="I15" s="98"/>
      <c r="J15" s="102"/>
      <c r="K15" s="17"/>
    </row>
    <row r="16" spans="1:11">
      <c r="A16" s="98">
        <v>10</v>
      </c>
      <c r="B16" s="98"/>
      <c r="C16" s="98" t="s">
        <v>353</v>
      </c>
      <c r="D16" s="135">
        <v>45270</v>
      </c>
      <c r="E16" s="99" t="s">
        <v>355</v>
      </c>
      <c r="F16" s="100">
        <v>68000</v>
      </c>
      <c r="G16" s="101"/>
      <c r="H16" s="98"/>
      <c r="I16" s="98"/>
      <c r="J16" s="102"/>
      <c r="K16" s="17"/>
    </row>
    <row r="17" spans="1:11">
      <c r="A17" s="98">
        <v>11</v>
      </c>
      <c r="B17" s="98"/>
      <c r="C17" s="98" t="s">
        <v>357</v>
      </c>
      <c r="D17" s="98" t="s">
        <v>151</v>
      </c>
      <c r="E17" s="99" t="s">
        <v>110</v>
      </c>
      <c r="F17" s="100">
        <v>121000</v>
      </c>
      <c r="G17" s="101"/>
      <c r="H17" s="98"/>
      <c r="I17" s="98"/>
      <c r="J17" s="102"/>
      <c r="K17" s="17"/>
    </row>
    <row r="18" spans="1:11">
      <c r="A18" s="98">
        <v>12</v>
      </c>
      <c r="B18" s="98"/>
      <c r="C18" s="98" t="s">
        <v>364</v>
      </c>
      <c r="D18" s="135">
        <v>45149</v>
      </c>
      <c r="E18" s="99" t="s">
        <v>366</v>
      </c>
      <c r="F18" s="100">
        <v>102000</v>
      </c>
      <c r="G18" s="101"/>
      <c r="H18" s="98"/>
      <c r="I18" s="98"/>
      <c r="J18" s="102"/>
      <c r="K18" s="17"/>
    </row>
    <row r="19" spans="1:11">
      <c r="A19" s="98">
        <v>13</v>
      </c>
      <c r="B19" s="98"/>
      <c r="C19" s="98" t="s">
        <v>376</v>
      </c>
      <c r="D19" s="98" t="s">
        <v>373</v>
      </c>
      <c r="E19" s="99" t="s">
        <v>377</v>
      </c>
      <c r="F19" s="100">
        <v>50000</v>
      </c>
      <c r="G19" s="101"/>
      <c r="H19" s="98"/>
      <c r="I19" s="98"/>
      <c r="J19" s="102"/>
      <c r="K19" s="17"/>
    </row>
    <row r="20" spans="1:11">
      <c r="A20" s="98">
        <v>14</v>
      </c>
      <c r="B20" s="98"/>
      <c r="C20" s="98">
        <v>6049</v>
      </c>
      <c r="D20" s="98" t="s">
        <v>401</v>
      </c>
      <c r="E20" s="99" t="s">
        <v>135</v>
      </c>
      <c r="F20" s="100">
        <v>1713000</v>
      </c>
      <c r="G20" s="101"/>
      <c r="H20" s="98" t="s">
        <v>75</v>
      </c>
      <c r="I20" s="98"/>
      <c r="J20" s="102"/>
      <c r="K20" s="17"/>
    </row>
    <row r="21" spans="1:11">
      <c r="A21" s="98">
        <v>15</v>
      </c>
      <c r="B21" s="98"/>
      <c r="C21" s="98" t="s">
        <v>415</v>
      </c>
      <c r="D21" s="135">
        <v>45414</v>
      </c>
      <c r="E21" s="99" t="s">
        <v>144</v>
      </c>
      <c r="F21" s="100">
        <v>40000</v>
      </c>
      <c r="G21" s="101"/>
      <c r="H21" s="98"/>
      <c r="I21" s="98"/>
      <c r="J21" s="102"/>
      <c r="K21" s="17"/>
    </row>
    <row r="22" spans="1:11" ht="52.2">
      <c r="A22" s="98">
        <v>16</v>
      </c>
      <c r="B22" s="17"/>
      <c r="C22" s="98">
        <v>6488</v>
      </c>
      <c r="D22" s="135">
        <v>45601</v>
      </c>
      <c r="E22" s="99" t="s">
        <v>516</v>
      </c>
      <c r="F22" s="100">
        <v>132000</v>
      </c>
      <c r="G22" s="101"/>
      <c r="H22" s="98" t="s">
        <v>75</v>
      </c>
      <c r="I22" s="17"/>
      <c r="J22" s="117"/>
      <c r="K22" s="17"/>
    </row>
    <row r="23" spans="1:11" ht="34.799999999999997">
      <c r="A23" s="98">
        <v>17</v>
      </c>
      <c r="B23" s="98"/>
      <c r="C23" s="17">
        <v>7348</v>
      </c>
      <c r="D23" s="130">
        <v>45619</v>
      </c>
      <c r="E23" s="131" t="s">
        <v>623</v>
      </c>
      <c r="F23" s="132">
        <v>85000</v>
      </c>
      <c r="G23" s="116"/>
      <c r="H23" s="17" t="s">
        <v>75</v>
      </c>
      <c r="I23" s="98"/>
      <c r="J23" s="102"/>
      <c r="K23" s="17"/>
    </row>
    <row r="24" spans="1:11">
      <c r="A24" s="98">
        <v>18</v>
      </c>
      <c r="B24" s="98"/>
      <c r="C24" s="98">
        <v>7587</v>
      </c>
      <c r="D24" s="135">
        <v>45650</v>
      </c>
      <c r="E24" s="99" t="s">
        <v>659</v>
      </c>
      <c r="F24" s="100">
        <v>70000</v>
      </c>
      <c r="G24" s="101"/>
      <c r="H24" s="98" t="s">
        <v>75</v>
      </c>
      <c r="I24" s="98"/>
      <c r="J24" s="102"/>
      <c r="K24" s="17"/>
    </row>
    <row r="25" spans="1:11">
      <c r="A25" s="98">
        <v>19</v>
      </c>
      <c r="B25" s="98"/>
      <c r="C25" s="98">
        <v>7829</v>
      </c>
      <c r="D25" s="135">
        <v>45696</v>
      </c>
      <c r="E25" s="99" t="s">
        <v>703</v>
      </c>
      <c r="F25" s="100">
        <v>95000</v>
      </c>
      <c r="G25" s="101"/>
      <c r="H25" s="98" t="s">
        <v>75</v>
      </c>
      <c r="I25" s="98"/>
      <c r="J25" s="102"/>
      <c r="K25" s="17"/>
    </row>
    <row r="26" spans="1:11">
      <c r="A26" s="98">
        <v>20</v>
      </c>
      <c r="B26" s="98"/>
      <c r="C26" s="17">
        <v>7882</v>
      </c>
      <c r="D26" s="130">
        <v>45705</v>
      </c>
      <c r="E26" s="18" t="s">
        <v>714</v>
      </c>
      <c r="F26" s="24">
        <v>230000</v>
      </c>
      <c r="G26" s="116"/>
      <c r="H26" s="17" t="s">
        <v>75</v>
      </c>
      <c r="I26" s="98"/>
      <c r="J26" s="102"/>
      <c r="K26" s="17"/>
    </row>
    <row r="27" spans="1:11" ht="34.799999999999997">
      <c r="A27" s="98">
        <v>21</v>
      </c>
      <c r="B27" s="98"/>
      <c r="C27" s="17">
        <v>8152</v>
      </c>
      <c r="D27" s="130">
        <v>45760</v>
      </c>
      <c r="E27" s="18" t="s">
        <v>757</v>
      </c>
      <c r="F27" s="132">
        <v>70000</v>
      </c>
      <c r="G27" s="25">
        <v>100</v>
      </c>
      <c r="H27" s="117" t="s">
        <v>75</v>
      </c>
      <c r="I27" s="98"/>
      <c r="J27" s="102"/>
      <c r="K27" s="17"/>
    </row>
    <row r="28" spans="1:11" ht="34.799999999999997">
      <c r="A28" s="98">
        <v>22</v>
      </c>
      <c r="B28" s="98"/>
      <c r="C28" s="18">
        <v>8981</v>
      </c>
      <c r="D28" s="133">
        <v>45813</v>
      </c>
      <c r="E28" s="99" t="s">
        <v>794</v>
      </c>
      <c r="F28" s="134">
        <v>95000</v>
      </c>
      <c r="G28" s="116"/>
      <c r="H28" s="17" t="s">
        <v>75</v>
      </c>
      <c r="I28" s="98"/>
      <c r="J28" s="102"/>
      <c r="K28" s="17"/>
    </row>
    <row r="29" spans="1:11">
      <c r="A29" s="98">
        <v>23</v>
      </c>
      <c r="B29" s="98"/>
      <c r="C29" s="98">
        <v>559</v>
      </c>
      <c r="D29" s="135">
        <v>46011</v>
      </c>
      <c r="E29" s="99" t="s">
        <v>259</v>
      </c>
      <c r="F29" s="100"/>
      <c r="G29" s="101">
        <v>87</v>
      </c>
      <c r="H29" s="98" t="s">
        <v>75</v>
      </c>
      <c r="I29" s="98"/>
      <c r="J29" s="102"/>
      <c r="K29" s="17"/>
    </row>
    <row r="30" spans="1:11" ht="34.799999999999997">
      <c r="A30" s="98">
        <v>24</v>
      </c>
      <c r="B30" s="98"/>
      <c r="C30" s="98">
        <v>1093</v>
      </c>
      <c r="D30" s="135">
        <v>46086</v>
      </c>
      <c r="E30" s="99" t="s">
        <v>1234</v>
      </c>
      <c r="F30" s="100">
        <v>80000</v>
      </c>
      <c r="G30" s="101"/>
      <c r="H30" s="98" t="s">
        <v>75</v>
      </c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31</v>
      </c>
      <c r="B37" s="98"/>
      <c r="C37" s="98"/>
      <c r="D37" s="98"/>
      <c r="E37" s="99"/>
      <c r="F37" s="100"/>
      <c r="G37" s="101"/>
      <c r="H37" s="98"/>
      <c r="I37" s="98"/>
      <c r="J37" s="102"/>
      <c r="K37" s="17"/>
    </row>
    <row r="38" spans="1:11">
      <c r="A38" s="98">
        <v>32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98">
        <v>33</v>
      </c>
      <c r="B39" s="98"/>
      <c r="C39" s="98"/>
      <c r="D39" s="98"/>
      <c r="E39" s="99"/>
      <c r="F39" s="100"/>
      <c r="G39" s="101"/>
      <c r="H39" s="98"/>
      <c r="I39" s="98"/>
      <c r="J39" s="102"/>
      <c r="K39" s="17"/>
    </row>
    <row r="40" spans="1:11">
      <c r="A40" s="98">
        <v>34</v>
      </c>
      <c r="B40" s="98"/>
      <c r="C40" s="98"/>
      <c r="D40" s="98"/>
      <c r="E40" s="99"/>
      <c r="F40" s="100"/>
      <c r="G40" s="101"/>
      <c r="H40" s="98"/>
      <c r="I40" s="98"/>
      <c r="J40" s="102"/>
      <c r="K40" s="17"/>
    </row>
    <row r="41" spans="1:11">
      <c r="A41" s="103"/>
      <c r="B41" s="206" t="s">
        <v>98</v>
      </c>
      <c r="C41" s="206"/>
      <c r="D41" s="103"/>
      <c r="E41" s="104"/>
      <c r="F41" s="105">
        <f>SUM(F7:F40)</f>
        <v>4711000</v>
      </c>
      <c r="G41" s="106">
        <f>SUM(G7:G40)</f>
        <v>187</v>
      </c>
      <c r="H41" s="103"/>
      <c r="I41" s="103"/>
      <c r="J41" s="107"/>
      <c r="K41" s="108"/>
    </row>
    <row r="42" spans="1:11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J61" s="115"/>
    </row>
    <row r="62" spans="1:10">
      <c r="J62" s="115"/>
    </row>
    <row r="63" spans="1:10">
      <c r="J63" s="115"/>
    </row>
    <row r="64" spans="1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41:C41"/>
  </mergeCells>
  <hyperlinks>
    <hyperlink ref="K2" location="الاليات!A1" display="الاليات " xr:uid="{00000000-0004-0000-1E00-000000000000}"/>
  </hyperlinks>
  <pageMargins left="0.7" right="0.7" top="0.75" bottom="0.75" header="0.3" footer="0.3"/>
  <pageSetup paperSize="9" scale="56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K118"/>
  <sheetViews>
    <sheetView rightToLeft="1" zoomScaleNormal="10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8.6640625" style="1" bestFit="1" customWidth="1"/>
    <col min="3" max="3" width="12.77734375" style="1" bestFit="1" customWidth="1"/>
    <col min="4" max="4" width="10.33203125" style="1" bestFit="1" customWidth="1"/>
    <col min="5" max="5" width="29.21875" style="73" customWidth="1"/>
    <col min="6" max="6" width="15.5546875" style="78" customWidth="1"/>
    <col min="7" max="7" width="6.5546875" style="122" bestFit="1" customWidth="1"/>
    <col min="8" max="8" width="13.44140625" style="1" bestFit="1" customWidth="1"/>
    <col min="9" max="9" width="7.5546875" style="1" bestFit="1" customWidth="1"/>
    <col min="10" max="10" width="4.33203125" style="1" bestFit="1" customWidth="1"/>
    <col min="11" max="11" width="14.664062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29</v>
      </c>
      <c r="B2" s="202" t="s">
        <v>61</v>
      </c>
      <c r="C2" s="203"/>
      <c r="D2" s="138"/>
      <c r="E2" s="86" t="s">
        <v>8</v>
      </c>
      <c r="F2" s="17">
        <v>2024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693</v>
      </c>
      <c r="D3" s="35"/>
      <c r="E3" s="86" t="s">
        <v>68</v>
      </c>
      <c r="F3" s="35" t="s">
        <v>692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35"/>
      <c r="D4" s="35"/>
      <c r="E4" s="40"/>
      <c r="F4" s="35"/>
      <c r="G4" s="17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86" t="s">
        <v>95</v>
      </c>
      <c r="F5" s="37"/>
      <c r="G5" s="81"/>
      <c r="H5" s="81" t="s">
        <v>96</v>
      </c>
      <c r="I5" s="117">
        <f>MAX(J7:J141)</f>
        <v>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22.95" customHeight="1">
      <c r="A7" s="17">
        <v>1</v>
      </c>
      <c r="B7" s="143"/>
      <c r="C7" s="98">
        <v>668</v>
      </c>
      <c r="D7" s="135">
        <v>46082</v>
      </c>
      <c r="E7" s="99" t="s">
        <v>681</v>
      </c>
      <c r="F7" s="100">
        <v>45000</v>
      </c>
      <c r="G7" s="101"/>
      <c r="H7" s="98" t="s">
        <v>75</v>
      </c>
      <c r="I7" s="81"/>
      <c r="J7" s="23"/>
      <c r="K7" s="81"/>
    </row>
    <row r="8" spans="1:11" ht="40.200000000000003" customHeight="1">
      <c r="A8" s="17">
        <v>2</v>
      </c>
      <c r="B8" s="143"/>
      <c r="C8" s="17">
        <v>1281</v>
      </c>
      <c r="D8" s="17" t="s">
        <v>1256</v>
      </c>
      <c r="E8" s="18" t="s">
        <v>1267</v>
      </c>
      <c r="F8" s="132">
        <v>25000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43"/>
      <c r="C9" s="143"/>
      <c r="D9" s="144"/>
      <c r="E9" s="143"/>
      <c r="F9" s="145"/>
      <c r="G9" s="116"/>
      <c r="H9" s="17"/>
      <c r="I9" s="17"/>
      <c r="J9" s="117"/>
      <c r="K9" s="17"/>
    </row>
    <row r="10" spans="1:11">
      <c r="A10" s="17">
        <v>4</v>
      </c>
      <c r="B10" s="143"/>
      <c r="C10" s="143"/>
      <c r="D10" s="144"/>
      <c r="E10" s="143"/>
      <c r="F10" s="145"/>
      <c r="G10" s="116"/>
      <c r="H10" s="17"/>
      <c r="I10" s="17"/>
      <c r="J10" s="117"/>
      <c r="K10" s="17"/>
    </row>
    <row r="11" spans="1:11">
      <c r="A11" s="17">
        <v>5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03"/>
      <c r="B16" s="206" t="s">
        <v>98</v>
      </c>
      <c r="C16" s="206"/>
      <c r="D16" s="103"/>
      <c r="E16" s="104"/>
      <c r="F16" s="105">
        <f>SUM(F7:F15)</f>
        <v>70000</v>
      </c>
      <c r="G16" s="105">
        <f>SUM(G7:G15)</f>
        <v>0</v>
      </c>
      <c r="H16" s="103"/>
      <c r="I16" s="103"/>
      <c r="J16" s="107"/>
      <c r="K16" s="108"/>
    </row>
    <row r="17" spans="10:10">
      <c r="J17" s="115"/>
    </row>
    <row r="18" spans="10:10">
      <c r="J18" s="115"/>
    </row>
    <row r="19" spans="10:10">
      <c r="J19" s="115"/>
    </row>
    <row r="20" spans="10:10">
      <c r="J20" s="115"/>
    </row>
    <row r="21" spans="10:10">
      <c r="J21" s="115"/>
    </row>
    <row r="22" spans="10:10">
      <c r="J22" s="115"/>
    </row>
    <row r="23" spans="10:10">
      <c r="J23" s="115"/>
    </row>
    <row r="24" spans="10:10">
      <c r="J24" s="115"/>
    </row>
    <row r="25" spans="10:10">
      <c r="J25" s="115"/>
    </row>
    <row r="26" spans="10:10">
      <c r="J26" s="115"/>
    </row>
    <row r="27" spans="10:10">
      <c r="J27" s="115"/>
    </row>
    <row r="28" spans="10:10">
      <c r="J28" s="115"/>
    </row>
    <row r="29" spans="10:10">
      <c r="J29" s="115"/>
    </row>
    <row r="30" spans="10:10">
      <c r="J30" s="115"/>
    </row>
    <row r="31" spans="10:10">
      <c r="J31" s="115"/>
    </row>
    <row r="32" spans="10:10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16:C16"/>
  </mergeCells>
  <hyperlinks>
    <hyperlink ref="K2" location="الاليات!A1" display="الاليات " xr:uid="{00000000-0004-0000-1F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33203125" style="1" bestFit="1" customWidth="1"/>
    <col min="4" max="4" width="12.77734375" style="1" bestFit="1" customWidth="1"/>
    <col min="5" max="5" width="19.6640625" style="73" bestFit="1" customWidth="1"/>
    <col min="6" max="6" width="13.3320312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4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30</v>
      </c>
      <c r="B2" s="202" t="s">
        <v>864</v>
      </c>
      <c r="C2" s="203"/>
      <c r="D2" s="85"/>
      <c r="E2" s="86" t="s">
        <v>8</v>
      </c>
      <c r="F2" s="87">
        <v>2020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865</v>
      </c>
      <c r="D3" s="89"/>
      <c r="E3" s="86" t="s">
        <v>68</v>
      </c>
      <c r="F3" s="87" t="s">
        <v>77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81" t="s">
        <v>855</v>
      </c>
      <c r="C5" s="35" t="s">
        <v>847</v>
      </c>
      <c r="D5" s="89"/>
      <c r="E5" s="86" t="s">
        <v>95</v>
      </c>
      <c r="F5" s="93"/>
      <c r="G5" s="92"/>
      <c r="H5" s="81" t="s">
        <v>96</v>
      </c>
      <c r="I5" s="117">
        <f>MAX(J7:J141)</f>
        <v>0</v>
      </c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4.799999999999997">
      <c r="A7" s="98">
        <v>1</v>
      </c>
      <c r="B7" s="98" t="s">
        <v>75</v>
      </c>
      <c r="C7" s="98">
        <v>4266</v>
      </c>
      <c r="D7" s="135">
        <v>45047</v>
      </c>
      <c r="E7" s="99" t="s">
        <v>141</v>
      </c>
      <c r="F7" s="100">
        <v>94000</v>
      </c>
      <c r="G7" s="101"/>
      <c r="H7" s="98" t="s">
        <v>75</v>
      </c>
      <c r="I7" s="98"/>
      <c r="J7" s="102"/>
      <c r="K7" s="17"/>
    </row>
    <row r="8" spans="1:11" ht="34.799999999999997">
      <c r="A8" s="98">
        <v>2</v>
      </c>
      <c r="B8" s="98"/>
      <c r="C8" s="98" t="s">
        <v>421</v>
      </c>
      <c r="D8" s="135">
        <v>45353</v>
      </c>
      <c r="E8" s="99" t="s">
        <v>141</v>
      </c>
      <c r="F8" s="100">
        <v>60000</v>
      </c>
      <c r="G8" s="101"/>
      <c r="H8" s="98"/>
      <c r="I8" s="98"/>
      <c r="J8" s="102"/>
      <c r="K8" s="17"/>
    </row>
    <row r="9" spans="1:11">
      <c r="A9" s="98">
        <v>3</v>
      </c>
      <c r="B9" s="98"/>
      <c r="C9" s="17">
        <v>7580</v>
      </c>
      <c r="D9" s="130">
        <v>45649</v>
      </c>
      <c r="E9" s="18" t="s">
        <v>259</v>
      </c>
      <c r="F9" s="132"/>
      <c r="G9" s="25">
        <v>340</v>
      </c>
      <c r="H9" s="17" t="s">
        <v>75</v>
      </c>
      <c r="I9" s="98"/>
      <c r="J9" s="102"/>
      <c r="K9" s="17"/>
    </row>
    <row r="10" spans="1:11">
      <c r="A10" s="98">
        <v>4</v>
      </c>
      <c r="B10" s="98"/>
      <c r="C10" s="98">
        <v>7587</v>
      </c>
      <c r="D10" s="135">
        <v>45650</v>
      </c>
      <c r="E10" s="99" t="s">
        <v>655</v>
      </c>
      <c r="F10" s="100">
        <v>10000</v>
      </c>
      <c r="G10" s="101"/>
      <c r="H10" s="98" t="s">
        <v>75</v>
      </c>
      <c r="I10" s="98"/>
      <c r="J10" s="102"/>
      <c r="K10" s="17"/>
    </row>
    <row r="11" spans="1:11" ht="69.599999999999994">
      <c r="A11" s="98">
        <v>5</v>
      </c>
      <c r="B11" s="98"/>
      <c r="C11" s="98">
        <v>343</v>
      </c>
      <c r="D11" s="135">
        <v>45983</v>
      </c>
      <c r="E11" s="99" t="s">
        <v>1112</v>
      </c>
      <c r="F11" s="100">
        <v>325000</v>
      </c>
      <c r="G11" s="101"/>
      <c r="H11" s="98" t="s">
        <v>75</v>
      </c>
      <c r="I11" s="98"/>
      <c r="J11" s="102"/>
      <c r="K11" s="17"/>
    </row>
    <row r="12" spans="1:11" ht="34.799999999999997">
      <c r="A12" s="98">
        <v>6</v>
      </c>
      <c r="B12" s="98"/>
      <c r="C12" s="17">
        <v>519</v>
      </c>
      <c r="D12" s="130">
        <v>46004</v>
      </c>
      <c r="E12" s="18" t="s">
        <v>1120</v>
      </c>
      <c r="F12" s="132">
        <v>146000</v>
      </c>
      <c r="G12" s="25"/>
      <c r="H12" s="17" t="s">
        <v>75</v>
      </c>
      <c r="I12" s="98"/>
      <c r="J12" s="102"/>
      <c r="K12" s="17"/>
    </row>
    <row r="13" spans="1:11">
      <c r="A13" s="98">
        <v>7</v>
      </c>
      <c r="B13" s="98"/>
      <c r="C13" s="98"/>
      <c r="D13" s="98"/>
      <c r="E13" s="99"/>
      <c r="F13" s="100"/>
      <c r="G13" s="101"/>
      <c r="H13" s="98"/>
      <c r="I13" s="98"/>
      <c r="J13" s="102"/>
      <c r="K13" s="17"/>
    </row>
    <row r="14" spans="1:11">
      <c r="A14" s="98">
        <v>8</v>
      </c>
      <c r="B14" s="98"/>
      <c r="C14" s="98"/>
      <c r="D14" s="98"/>
      <c r="E14" s="99"/>
      <c r="F14" s="100"/>
      <c r="G14" s="101"/>
      <c r="H14" s="98"/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00"/>
      <c r="G15" s="101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00"/>
      <c r="G16" s="101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00"/>
      <c r="G17" s="101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00"/>
      <c r="G18" s="101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00"/>
      <c r="G19" s="101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00"/>
      <c r="G20" s="101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103"/>
      <c r="B33" s="206" t="s">
        <v>98</v>
      </c>
      <c r="C33" s="206"/>
      <c r="D33" s="103"/>
      <c r="E33" s="104"/>
      <c r="F33" s="105">
        <f>SUM(F7:F32)</f>
        <v>635000</v>
      </c>
      <c r="G33" s="106">
        <f>SUM(G7:G32)</f>
        <v>340</v>
      </c>
      <c r="H33" s="103"/>
      <c r="I33" s="103"/>
      <c r="J33" s="107"/>
      <c r="K33" s="108"/>
    </row>
    <row r="34" spans="1:11">
      <c r="A34" s="109"/>
      <c r="B34" s="109"/>
      <c r="C34" s="109"/>
      <c r="D34" s="109"/>
      <c r="E34" s="110"/>
      <c r="F34" s="111"/>
      <c r="G34" s="112"/>
      <c r="H34" s="109"/>
      <c r="I34" s="109"/>
      <c r="J34" s="113"/>
    </row>
    <row r="35" spans="1:11">
      <c r="A35" s="109"/>
      <c r="B35" s="109"/>
      <c r="C35" s="109"/>
      <c r="D35" s="109"/>
      <c r="E35" s="110"/>
      <c r="F35" s="111"/>
      <c r="G35" s="112"/>
      <c r="H35" s="109"/>
      <c r="I35" s="109"/>
      <c r="J35" s="113"/>
    </row>
    <row r="36" spans="1:11">
      <c r="A36" s="109"/>
      <c r="B36" s="109"/>
      <c r="C36" s="109"/>
      <c r="D36" s="109"/>
      <c r="E36" s="110"/>
      <c r="F36" s="111"/>
      <c r="G36" s="112"/>
      <c r="H36" s="109"/>
      <c r="I36" s="109"/>
      <c r="J36" s="113"/>
    </row>
    <row r="37" spans="1:11">
      <c r="A37" s="109"/>
      <c r="B37" s="109"/>
      <c r="C37" s="109"/>
      <c r="D37" s="109"/>
      <c r="E37" s="110"/>
      <c r="F37" s="111"/>
      <c r="G37" s="112"/>
      <c r="H37" s="109"/>
      <c r="I37" s="109"/>
      <c r="J37" s="113"/>
    </row>
    <row r="38" spans="1:11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11"/>
      <c r="G73" s="112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11"/>
      <c r="G74" s="112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11"/>
      <c r="G75" s="112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11"/>
      <c r="G76" s="112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11"/>
      <c r="G77" s="112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11"/>
      <c r="G78" s="112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11"/>
      <c r="G79" s="112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11"/>
      <c r="G80" s="112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11"/>
      <c r="G81" s="112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11"/>
      <c r="G82" s="112"/>
      <c r="H82" s="109"/>
      <c r="I82" s="109"/>
      <c r="J82" s="113"/>
    </row>
    <row r="83" spans="1:10">
      <c r="J83" s="115"/>
    </row>
    <row r="84" spans="1:10">
      <c r="J84" s="115"/>
    </row>
    <row r="85" spans="1:10">
      <c r="J85" s="115"/>
    </row>
    <row r="86" spans="1:10">
      <c r="J86" s="115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3:C33"/>
  </mergeCells>
  <hyperlinks>
    <hyperlink ref="K2" location="الاليات!A1" display="الاليات " xr:uid="{00000000-0004-0000-2000-000000000000}"/>
  </hyperlinks>
  <pageMargins left="0.7" right="0.7" top="0.75" bottom="0.75" header="0.3" footer="0.3"/>
  <pageSetup paperSize="9" scale="67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K12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4" width="12.77734375" style="1" bestFit="1" customWidth="1"/>
    <col min="5" max="5" width="35.55468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9.2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31</v>
      </c>
      <c r="B2" s="202" t="s">
        <v>12</v>
      </c>
      <c r="C2" s="203"/>
      <c r="D2" s="138"/>
      <c r="E2" s="86" t="s">
        <v>8</v>
      </c>
      <c r="F2" s="87">
        <v>2004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868</v>
      </c>
      <c r="D3" s="35"/>
      <c r="E3" s="86" t="s">
        <v>68</v>
      </c>
      <c r="F3" s="87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4880</v>
      </c>
      <c r="D7" s="130">
        <v>45082</v>
      </c>
      <c r="E7" s="18" t="s">
        <v>296</v>
      </c>
      <c r="F7" s="132">
        <v>34000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5488</v>
      </c>
      <c r="D8" s="17" t="s">
        <v>341</v>
      </c>
      <c r="E8" s="18" t="s">
        <v>135</v>
      </c>
      <c r="F8" s="132">
        <v>350000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5488</v>
      </c>
      <c r="D9" s="17" t="s">
        <v>341</v>
      </c>
      <c r="E9" s="143" t="s">
        <v>433</v>
      </c>
      <c r="F9" s="132">
        <v>3400000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6843</v>
      </c>
      <c r="D10" s="130">
        <v>45359</v>
      </c>
      <c r="E10" s="18" t="s">
        <v>553</v>
      </c>
      <c r="F10" s="132">
        <v>20000</v>
      </c>
      <c r="G10" s="25"/>
      <c r="H10" s="17" t="s">
        <v>278</v>
      </c>
      <c r="I10" s="17"/>
      <c r="J10" s="117"/>
      <c r="K10" s="17"/>
    </row>
    <row r="11" spans="1:11">
      <c r="A11" s="17">
        <v>5</v>
      </c>
      <c r="B11" s="17"/>
      <c r="C11" s="17">
        <v>6706</v>
      </c>
      <c r="D11" s="130">
        <v>45358</v>
      </c>
      <c r="E11" s="18" t="s">
        <v>564</v>
      </c>
      <c r="F11" s="132">
        <v>240000</v>
      </c>
      <c r="G11" s="25"/>
      <c r="H11" s="17" t="s">
        <v>278</v>
      </c>
      <c r="I11" s="17"/>
      <c r="J11" s="117"/>
      <c r="K11" s="17"/>
    </row>
    <row r="12" spans="1:11">
      <c r="A12" s="17">
        <v>6</v>
      </c>
      <c r="B12" s="17"/>
      <c r="C12" s="17">
        <v>6794</v>
      </c>
      <c r="D12" s="17" t="s">
        <v>543</v>
      </c>
      <c r="E12" s="18" t="s">
        <v>566</v>
      </c>
      <c r="F12" s="132">
        <v>31000</v>
      </c>
      <c r="G12" s="25"/>
      <c r="H12" s="17" t="s">
        <v>278</v>
      </c>
      <c r="I12" s="17"/>
      <c r="J12" s="117"/>
      <c r="K12" s="17"/>
    </row>
    <row r="13" spans="1:11" ht="36" customHeight="1">
      <c r="A13" s="17">
        <v>7</v>
      </c>
      <c r="B13" s="17"/>
      <c r="C13" s="99">
        <v>8806</v>
      </c>
      <c r="D13" s="136">
        <v>45791</v>
      </c>
      <c r="E13" s="99" t="s">
        <v>771</v>
      </c>
      <c r="F13" s="137">
        <v>1100000</v>
      </c>
      <c r="G13" s="127"/>
      <c r="H13" s="98" t="s">
        <v>75</v>
      </c>
      <c r="I13" s="17"/>
      <c r="J13" s="117"/>
      <c r="K13" s="17"/>
    </row>
    <row r="14" spans="1:11">
      <c r="A14" s="17">
        <v>8</v>
      </c>
      <c r="B14" s="17"/>
      <c r="C14" s="98">
        <v>9738</v>
      </c>
      <c r="D14" s="135">
        <v>45913</v>
      </c>
      <c r="E14" s="18" t="s">
        <v>618</v>
      </c>
      <c r="F14" s="132">
        <v>1250000</v>
      </c>
      <c r="G14" s="25"/>
      <c r="H14" s="98" t="s">
        <v>75</v>
      </c>
      <c r="I14" s="17"/>
      <c r="J14" s="117"/>
      <c r="K14" s="17"/>
    </row>
    <row r="15" spans="1:11">
      <c r="A15" s="17">
        <v>9</v>
      </c>
      <c r="B15" s="17"/>
      <c r="C15" s="17">
        <v>615</v>
      </c>
      <c r="D15" s="130">
        <v>46018</v>
      </c>
      <c r="E15" s="18" t="s">
        <v>618</v>
      </c>
      <c r="F15" s="132"/>
      <c r="G15" s="25">
        <v>700</v>
      </c>
      <c r="H15" s="117" t="s">
        <v>75</v>
      </c>
      <c r="I15" s="17"/>
      <c r="J15" s="117"/>
      <c r="K15" s="17"/>
    </row>
    <row r="16" spans="1:11">
      <c r="A16" s="17">
        <v>10</v>
      </c>
      <c r="B16" s="17"/>
      <c r="C16" s="17">
        <v>883</v>
      </c>
      <c r="D16" s="17" t="s">
        <v>1191</v>
      </c>
      <c r="E16" s="18" t="s">
        <v>406</v>
      </c>
      <c r="F16" s="132">
        <v>240000</v>
      </c>
      <c r="G16" s="116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960</v>
      </c>
      <c r="D17" s="130">
        <v>46358</v>
      </c>
      <c r="E17" s="18" t="s">
        <v>1209</v>
      </c>
      <c r="F17" s="132">
        <v>135000</v>
      </c>
      <c r="G17" s="25"/>
      <c r="H17" s="117" t="s">
        <v>75</v>
      </c>
      <c r="I17" s="17"/>
      <c r="J17" s="117"/>
      <c r="K17" s="17"/>
    </row>
    <row r="18" spans="1:11">
      <c r="A18" s="17">
        <v>12</v>
      </c>
      <c r="B18" s="17"/>
      <c r="C18" s="99"/>
      <c r="D18" s="136"/>
      <c r="E18" s="99"/>
      <c r="F18" s="137"/>
      <c r="G18" s="127"/>
      <c r="H18" s="98"/>
      <c r="I18" s="17"/>
      <c r="J18" s="117"/>
      <c r="K18" s="17"/>
    </row>
    <row r="19" spans="1:11">
      <c r="A19" s="17">
        <v>13</v>
      </c>
      <c r="B19" s="17"/>
      <c r="C19" s="99"/>
      <c r="D19" s="136"/>
      <c r="E19" s="99"/>
      <c r="F19" s="137"/>
      <c r="G19" s="127"/>
      <c r="H19" s="98"/>
      <c r="I19" s="17"/>
      <c r="J19" s="117"/>
      <c r="K19" s="17"/>
    </row>
    <row r="20" spans="1:11">
      <c r="A20" s="17">
        <v>14</v>
      </c>
      <c r="B20" s="17"/>
      <c r="C20" s="99"/>
      <c r="D20" s="136"/>
      <c r="E20" s="99"/>
      <c r="F20" s="137"/>
      <c r="G20" s="127"/>
      <c r="H20" s="98"/>
      <c r="I20" s="17"/>
      <c r="J20" s="117"/>
      <c r="K20" s="17"/>
    </row>
    <row r="21" spans="1:11">
      <c r="A21" s="17">
        <v>15</v>
      </c>
      <c r="B21" s="17"/>
      <c r="C21" s="99"/>
      <c r="D21" s="136"/>
      <c r="E21" s="99"/>
      <c r="F21" s="137"/>
      <c r="G21" s="127"/>
      <c r="H21" s="98"/>
      <c r="I21" s="17"/>
      <c r="J21" s="117"/>
      <c r="K21" s="17"/>
    </row>
    <row r="22" spans="1:11">
      <c r="A22" s="17">
        <v>16</v>
      </c>
      <c r="B22" s="17"/>
      <c r="C22" s="99"/>
      <c r="D22" s="136"/>
      <c r="E22" s="99"/>
      <c r="F22" s="137"/>
      <c r="G22" s="127"/>
      <c r="H22" s="98"/>
      <c r="I22" s="17"/>
      <c r="J22" s="117"/>
      <c r="K22" s="17"/>
    </row>
    <row r="23" spans="1:11">
      <c r="A23" s="17">
        <v>17</v>
      </c>
      <c r="B23" s="17"/>
      <c r="C23" s="99"/>
      <c r="D23" s="136"/>
      <c r="E23" s="99"/>
      <c r="F23" s="137"/>
      <c r="G23" s="127"/>
      <c r="H23" s="98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08"/>
      <c r="B34" s="204" t="s">
        <v>98</v>
      </c>
      <c r="C34" s="204"/>
      <c r="D34" s="108"/>
      <c r="E34" s="118"/>
      <c r="F34" s="119">
        <f>SUM(F7:F33)</f>
        <v>6800000</v>
      </c>
      <c r="G34" s="120">
        <f>SUM(G7:G33)</f>
        <v>700</v>
      </c>
      <c r="H34" s="108"/>
      <c r="I34" s="108"/>
      <c r="J34" s="121"/>
      <c r="K34" s="108"/>
    </row>
    <row r="35" spans="1:11">
      <c r="J35" s="115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  <row r="119" spans="10:10">
      <c r="J119" s="115"/>
    </row>
    <row r="120" spans="10:10">
      <c r="J120" s="115"/>
    </row>
    <row r="121" spans="10:10">
      <c r="J121" s="115"/>
    </row>
    <row r="122" spans="10:10">
      <c r="J122" s="115"/>
    </row>
    <row r="123" spans="10:10">
      <c r="J123" s="115"/>
    </row>
    <row r="124" spans="10:10">
      <c r="J124" s="115"/>
    </row>
    <row r="125" spans="10:10">
      <c r="J125" s="115"/>
    </row>
    <row r="126" spans="10:10">
      <c r="J126" s="115"/>
    </row>
    <row r="127" spans="10:10">
      <c r="J127" s="115"/>
    </row>
    <row r="128" spans="10:10">
      <c r="J128" s="115"/>
    </row>
  </sheetData>
  <mergeCells count="3">
    <mergeCell ref="A1:K1"/>
    <mergeCell ref="B2:C2"/>
    <mergeCell ref="B34:C34"/>
  </mergeCells>
  <hyperlinks>
    <hyperlink ref="K2" location="الاليات!A1" display="الاليات " xr:uid="{00000000-0004-0000-2100-000000000000}"/>
  </hyperlinks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K143"/>
  <sheetViews>
    <sheetView rightToLeft="1" view="pageBreakPreview" zoomScaleNormal="7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6640625" style="1" bestFit="1" customWidth="1"/>
    <col min="4" max="4" width="12.77734375" style="1" bestFit="1" customWidth="1"/>
    <col min="5" max="5" width="2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32</v>
      </c>
      <c r="B2" s="202" t="s">
        <v>11</v>
      </c>
      <c r="C2" s="203"/>
      <c r="D2" s="85"/>
      <c r="E2" s="86" t="s">
        <v>8</v>
      </c>
      <c r="F2" s="140">
        <v>2007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869</v>
      </c>
      <c r="D3" s="89"/>
      <c r="E3" s="86" t="s">
        <v>68</v>
      </c>
      <c r="F3" s="140" t="s">
        <v>70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35"/>
      <c r="D4" s="89"/>
      <c r="E4" s="86"/>
      <c r="F4" s="140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 t="s">
        <v>261</v>
      </c>
      <c r="D7" s="130"/>
      <c r="E7" s="18" t="s">
        <v>135</v>
      </c>
      <c r="F7" s="132">
        <v>150000</v>
      </c>
      <c r="G7" s="25"/>
      <c r="H7" s="17"/>
      <c r="I7" s="17"/>
      <c r="J7" s="23"/>
      <c r="K7" s="81"/>
    </row>
    <row r="8" spans="1:11">
      <c r="A8" s="17">
        <v>2</v>
      </c>
      <c r="B8" s="17"/>
      <c r="C8" s="17">
        <v>6706</v>
      </c>
      <c r="D8" s="130">
        <v>45476</v>
      </c>
      <c r="E8" s="18" t="s">
        <v>564</v>
      </c>
      <c r="F8" s="132">
        <v>240000</v>
      </c>
      <c r="G8" s="25"/>
      <c r="H8" s="17" t="s">
        <v>278</v>
      </c>
      <c r="I8" s="17"/>
      <c r="J8" s="23"/>
      <c r="K8" s="81"/>
    </row>
    <row r="9" spans="1:11">
      <c r="A9" s="17">
        <v>3</v>
      </c>
      <c r="B9" s="17"/>
      <c r="C9" s="17">
        <v>6794</v>
      </c>
      <c r="D9" s="130" t="s">
        <v>543</v>
      </c>
      <c r="E9" s="18" t="s">
        <v>566</v>
      </c>
      <c r="F9" s="132">
        <v>31000</v>
      </c>
      <c r="G9" s="25"/>
      <c r="H9" s="17" t="s">
        <v>278</v>
      </c>
      <c r="I9" s="17"/>
      <c r="J9" s="23"/>
      <c r="K9" s="81"/>
    </row>
    <row r="10" spans="1:11">
      <c r="A10" s="17">
        <v>4</v>
      </c>
      <c r="B10" s="17"/>
      <c r="C10" s="17">
        <v>6854</v>
      </c>
      <c r="D10" s="130">
        <v>45508</v>
      </c>
      <c r="E10" s="18" t="s">
        <v>190</v>
      </c>
      <c r="F10" s="132">
        <v>485000</v>
      </c>
      <c r="G10" s="25"/>
      <c r="H10" s="17" t="s">
        <v>278</v>
      </c>
      <c r="I10" s="17"/>
      <c r="J10" s="23"/>
      <c r="K10" s="81"/>
    </row>
    <row r="11" spans="1:11" ht="69.599999999999994">
      <c r="A11" s="17">
        <v>5</v>
      </c>
      <c r="B11" s="17"/>
      <c r="C11" s="98">
        <v>7071</v>
      </c>
      <c r="D11" s="135">
        <v>45560</v>
      </c>
      <c r="E11" s="99" t="s">
        <v>580</v>
      </c>
      <c r="F11" s="100">
        <v>4340000</v>
      </c>
      <c r="G11" s="101"/>
      <c r="H11" s="98" t="s">
        <v>75</v>
      </c>
      <c r="I11" s="17"/>
      <c r="J11" s="23"/>
      <c r="K11" s="81"/>
    </row>
    <row r="12" spans="1:11" ht="34.799999999999997">
      <c r="A12" s="17">
        <v>6</v>
      </c>
      <c r="B12" s="17"/>
      <c r="C12" s="17"/>
      <c r="D12" s="130">
        <v>45580</v>
      </c>
      <c r="E12" s="18" t="s">
        <v>588</v>
      </c>
      <c r="F12" s="132">
        <v>370000</v>
      </c>
      <c r="G12" s="25"/>
      <c r="H12" s="17" t="s">
        <v>75</v>
      </c>
      <c r="I12" s="17"/>
      <c r="J12" s="23"/>
      <c r="K12" s="81"/>
    </row>
    <row r="13" spans="1:11">
      <c r="A13" s="17">
        <v>7</v>
      </c>
      <c r="B13" s="17"/>
      <c r="C13" s="98">
        <v>7717</v>
      </c>
      <c r="D13" s="135">
        <v>45676</v>
      </c>
      <c r="E13" s="99" t="s">
        <v>682</v>
      </c>
      <c r="F13" s="100">
        <v>315000</v>
      </c>
      <c r="G13" s="127"/>
      <c r="H13" s="98" t="s">
        <v>75</v>
      </c>
      <c r="I13" s="17"/>
      <c r="J13" s="23"/>
      <c r="K13" s="81"/>
    </row>
    <row r="14" spans="1:11" ht="52.2">
      <c r="A14" s="17">
        <v>8</v>
      </c>
      <c r="B14" s="17"/>
      <c r="C14" s="17">
        <v>8152</v>
      </c>
      <c r="D14" s="130">
        <v>45760</v>
      </c>
      <c r="E14" s="18" t="s">
        <v>754</v>
      </c>
      <c r="F14" s="132">
        <v>800000</v>
      </c>
      <c r="G14" s="25"/>
      <c r="H14" s="117" t="s">
        <v>75</v>
      </c>
      <c r="I14" s="17"/>
      <c r="J14" s="23"/>
      <c r="K14" s="81"/>
    </row>
    <row r="15" spans="1:11">
      <c r="A15" s="17">
        <v>9</v>
      </c>
      <c r="B15" s="17"/>
      <c r="C15" s="17">
        <v>8152</v>
      </c>
      <c r="D15" s="130">
        <v>45760</v>
      </c>
      <c r="E15" s="18" t="s">
        <v>758</v>
      </c>
      <c r="F15" s="132">
        <v>550000</v>
      </c>
      <c r="G15" s="25"/>
      <c r="H15" s="117" t="s">
        <v>75</v>
      </c>
      <c r="I15" s="17"/>
      <c r="J15" s="23"/>
      <c r="K15" s="81"/>
    </row>
    <row r="16" spans="1:11" ht="34.799999999999997">
      <c r="A16" s="17">
        <v>10</v>
      </c>
      <c r="B16" s="17"/>
      <c r="C16" s="17">
        <v>9087</v>
      </c>
      <c r="D16" s="130">
        <v>45836</v>
      </c>
      <c r="E16" s="18" t="s">
        <v>808</v>
      </c>
      <c r="F16" s="132">
        <v>760000</v>
      </c>
      <c r="G16" s="25"/>
      <c r="H16" s="17" t="s">
        <v>75</v>
      </c>
      <c r="I16" s="17"/>
      <c r="J16" s="23"/>
      <c r="K16" s="81"/>
    </row>
    <row r="17" spans="1:11">
      <c r="A17" s="17">
        <v>11</v>
      </c>
      <c r="B17" s="17"/>
      <c r="C17" s="18">
        <v>9203</v>
      </c>
      <c r="D17" s="133">
        <v>45848</v>
      </c>
      <c r="E17" s="99" t="s">
        <v>815</v>
      </c>
      <c r="F17" s="100">
        <v>50000</v>
      </c>
      <c r="G17" s="127"/>
      <c r="H17" s="98" t="s">
        <v>75</v>
      </c>
      <c r="I17" s="17"/>
      <c r="J17" s="23"/>
      <c r="K17" s="81"/>
    </row>
    <row r="18" spans="1:11">
      <c r="A18" s="17">
        <v>12</v>
      </c>
      <c r="B18" s="17"/>
      <c r="C18" s="98">
        <v>9738</v>
      </c>
      <c r="D18" s="135">
        <v>45913</v>
      </c>
      <c r="E18" s="18" t="s">
        <v>618</v>
      </c>
      <c r="F18" s="132">
        <v>1250000</v>
      </c>
      <c r="G18" s="25"/>
      <c r="H18" s="98" t="s">
        <v>75</v>
      </c>
      <c r="I18" s="17"/>
      <c r="J18" s="23"/>
      <c r="K18" s="81"/>
    </row>
    <row r="19" spans="1:11" ht="23.25" customHeight="1">
      <c r="A19" s="17">
        <v>13</v>
      </c>
      <c r="B19" s="17"/>
      <c r="C19" s="17">
        <v>303</v>
      </c>
      <c r="D19" s="130">
        <v>45977</v>
      </c>
      <c r="E19" s="18" t="s">
        <v>1098</v>
      </c>
      <c r="F19" s="132">
        <v>431000</v>
      </c>
      <c r="G19" s="25"/>
      <c r="H19" s="17" t="s">
        <v>75</v>
      </c>
      <c r="I19" s="17"/>
      <c r="J19" s="23"/>
      <c r="K19" s="81"/>
    </row>
    <row r="20" spans="1:11">
      <c r="A20" s="17">
        <v>14</v>
      </c>
      <c r="B20" s="17"/>
      <c r="C20" s="17">
        <v>615</v>
      </c>
      <c r="D20" s="130">
        <v>46018</v>
      </c>
      <c r="E20" s="18" t="s">
        <v>618</v>
      </c>
      <c r="F20" s="132"/>
      <c r="G20" s="25">
        <v>350</v>
      </c>
      <c r="H20" s="117" t="s">
        <v>75</v>
      </c>
      <c r="I20" s="17"/>
      <c r="J20" s="23"/>
      <c r="K20" s="81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23"/>
      <c r="K21" s="81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23"/>
      <c r="K22" s="81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23"/>
      <c r="K23" s="81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23"/>
      <c r="K24" s="81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23"/>
      <c r="K25" s="81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23"/>
      <c r="K26" s="81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23"/>
      <c r="K27" s="81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23"/>
      <c r="K28" s="81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23"/>
      <c r="K29" s="81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23"/>
      <c r="K30" s="81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23"/>
      <c r="K31" s="81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23"/>
      <c r="K32" s="81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23"/>
      <c r="K33" s="81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23"/>
      <c r="K34" s="81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23"/>
      <c r="K35" s="81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23"/>
      <c r="K36" s="81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23"/>
      <c r="K37" s="81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23"/>
      <c r="K38" s="81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23"/>
      <c r="K39" s="81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23"/>
      <c r="K40" s="81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23"/>
      <c r="K41" s="81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23"/>
      <c r="K42" s="81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23"/>
      <c r="K43" s="81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23"/>
      <c r="K44" s="81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23"/>
      <c r="K45" s="81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7">
        <v>41</v>
      </c>
      <c r="B47" s="17"/>
      <c r="C47" s="17"/>
      <c r="D47" s="17"/>
      <c r="E47" s="18"/>
      <c r="F47" s="132"/>
      <c r="G47" s="25"/>
      <c r="H47" s="17"/>
      <c r="I47" s="17"/>
      <c r="J47" s="117"/>
      <c r="K47" s="17"/>
    </row>
    <row r="48" spans="1:11">
      <c r="A48" s="17">
        <v>42</v>
      </c>
      <c r="B48" s="17"/>
      <c r="C48" s="17"/>
      <c r="D48" s="17"/>
      <c r="E48" s="18"/>
      <c r="F48" s="132"/>
      <c r="G48" s="25"/>
      <c r="H48" s="17"/>
      <c r="I48" s="17"/>
      <c r="J48" s="117"/>
      <c r="K48" s="17"/>
    </row>
    <row r="49" spans="1:11">
      <c r="A49" s="17">
        <v>43</v>
      </c>
      <c r="B49" s="17"/>
      <c r="C49" s="17"/>
      <c r="D49" s="17"/>
      <c r="E49" s="18"/>
      <c r="F49" s="132"/>
      <c r="G49" s="25"/>
      <c r="H49" s="17"/>
      <c r="I49" s="17"/>
      <c r="J49" s="117"/>
      <c r="K49" s="17"/>
    </row>
    <row r="50" spans="1:11">
      <c r="A50" s="17">
        <v>44</v>
      </c>
      <c r="B50" s="17"/>
      <c r="C50" s="17"/>
      <c r="D50" s="17"/>
      <c r="E50" s="18"/>
      <c r="F50" s="132"/>
      <c r="G50" s="25"/>
      <c r="H50" s="17"/>
      <c r="I50" s="17"/>
      <c r="J50" s="117"/>
      <c r="K50" s="17"/>
    </row>
    <row r="51" spans="1:11">
      <c r="A51" s="17">
        <v>45</v>
      </c>
      <c r="B51" s="17"/>
      <c r="C51" s="17"/>
      <c r="D51" s="17"/>
      <c r="E51" s="18"/>
      <c r="F51" s="132"/>
      <c r="G51" s="25"/>
      <c r="H51" s="17"/>
      <c r="I51" s="17"/>
      <c r="J51" s="117"/>
      <c r="K51" s="17"/>
    </row>
    <row r="52" spans="1:11">
      <c r="A52" s="17">
        <v>46</v>
      </c>
      <c r="B52" s="17"/>
      <c r="C52" s="17"/>
      <c r="D52" s="17"/>
      <c r="E52" s="18"/>
      <c r="F52" s="132"/>
      <c r="G52" s="25"/>
      <c r="H52" s="17"/>
      <c r="I52" s="17"/>
      <c r="J52" s="117"/>
      <c r="K52" s="17"/>
    </row>
    <row r="53" spans="1:11">
      <c r="A53" s="17">
        <v>47</v>
      </c>
      <c r="B53" s="17"/>
      <c r="C53" s="17"/>
      <c r="D53" s="17"/>
      <c r="E53" s="18"/>
      <c r="F53" s="132"/>
      <c r="G53" s="25"/>
      <c r="H53" s="17"/>
      <c r="I53" s="17"/>
      <c r="J53" s="117"/>
      <c r="K53" s="17"/>
    </row>
    <row r="54" spans="1:11">
      <c r="A54" s="17">
        <v>48</v>
      </c>
      <c r="B54" s="17"/>
      <c r="C54" s="17"/>
      <c r="D54" s="17"/>
      <c r="E54" s="18"/>
      <c r="F54" s="132"/>
      <c r="G54" s="25"/>
      <c r="H54" s="17"/>
      <c r="I54" s="17"/>
      <c r="J54" s="117"/>
      <c r="K54" s="17"/>
    </row>
    <row r="55" spans="1:11">
      <c r="A55" s="17">
        <v>49</v>
      </c>
      <c r="B55" s="17"/>
      <c r="C55" s="17"/>
      <c r="D55" s="17"/>
      <c r="E55" s="18"/>
      <c r="F55" s="132"/>
      <c r="G55" s="25"/>
      <c r="H55" s="17"/>
      <c r="I55" s="17"/>
      <c r="J55" s="117"/>
      <c r="K55" s="17"/>
    </row>
    <row r="56" spans="1:11">
      <c r="A56" s="108"/>
      <c r="B56" s="204" t="s">
        <v>98</v>
      </c>
      <c r="C56" s="204"/>
      <c r="D56" s="108"/>
      <c r="E56" s="118"/>
      <c r="F56" s="119">
        <f>SUM(F7:F55)</f>
        <v>9772000</v>
      </c>
      <c r="G56" s="120">
        <f>SUM(G7:G55)</f>
        <v>350</v>
      </c>
      <c r="H56" s="108"/>
      <c r="I56" s="108"/>
      <c r="J56" s="121"/>
      <c r="K56" s="108"/>
    </row>
    <row r="57" spans="1:11">
      <c r="J57" s="115"/>
    </row>
    <row r="58" spans="1:11">
      <c r="J58" s="115"/>
    </row>
    <row r="59" spans="1:11">
      <c r="J59" s="115"/>
    </row>
    <row r="60" spans="1:11">
      <c r="J60" s="115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  <row r="119" spans="10:10">
      <c r="J119" s="115"/>
    </row>
    <row r="120" spans="10:10">
      <c r="J120" s="115"/>
    </row>
    <row r="121" spans="10:10">
      <c r="J121" s="115"/>
    </row>
    <row r="122" spans="10:10">
      <c r="J122" s="115"/>
    </row>
    <row r="123" spans="10:10">
      <c r="J123" s="115"/>
    </row>
    <row r="124" spans="10:10">
      <c r="J124" s="115"/>
    </row>
    <row r="125" spans="10:10">
      <c r="J125" s="115"/>
    </row>
    <row r="126" spans="10:10">
      <c r="J126" s="115"/>
    </row>
    <row r="127" spans="10:10">
      <c r="J127" s="115"/>
    </row>
    <row r="128" spans="10:10">
      <c r="J128" s="115"/>
    </row>
    <row r="129" spans="10:10">
      <c r="J129" s="115"/>
    </row>
    <row r="130" spans="10:10">
      <c r="J130" s="115"/>
    </row>
    <row r="131" spans="10:10">
      <c r="J131" s="115"/>
    </row>
    <row r="132" spans="10:10">
      <c r="J132" s="115"/>
    </row>
    <row r="133" spans="10:10">
      <c r="J133" s="115"/>
    </row>
    <row r="134" spans="10:10">
      <c r="J134" s="115"/>
    </row>
    <row r="135" spans="10:10">
      <c r="J135" s="115"/>
    </row>
    <row r="136" spans="10:10">
      <c r="J136" s="115"/>
    </row>
    <row r="137" spans="10:10">
      <c r="J137" s="115"/>
    </row>
    <row r="138" spans="10:10">
      <c r="J138" s="115"/>
    </row>
    <row r="139" spans="10:10">
      <c r="J139" s="115"/>
    </row>
    <row r="140" spans="10:10">
      <c r="J140" s="115"/>
    </row>
    <row r="141" spans="10:10">
      <c r="J141" s="115"/>
    </row>
    <row r="142" spans="10:10">
      <c r="J142" s="115"/>
    </row>
    <row r="143" spans="10:10">
      <c r="J143" s="115"/>
    </row>
  </sheetData>
  <mergeCells count="3">
    <mergeCell ref="A1:K1"/>
    <mergeCell ref="B2:C2"/>
    <mergeCell ref="B56:C56"/>
  </mergeCells>
  <hyperlinks>
    <hyperlink ref="K2" location="الاليات!A1" display="الاليات " xr:uid="{00000000-0004-0000-2200-000000000000}"/>
  </hyperlinks>
  <pageMargins left="0.7" right="0.7" top="0.75" bottom="0.75" header="0.3" footer="0.3"/>
  <pageSetup paperSize="9" scale="42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K126"/>
  <sheetViews>
    <sheetView rightToLeft="1" view="pageBreakPreview" zoomScale="140" zoomScaleNormal="130" zoomScaleSheetLayoutView="14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44140625" style="1" bestFit="1" customWidth="1"/>
    <col min="4" max="4" width="12.77734375" style="1" bestFit="1" customWidth="1"/>
    <col min="5" max="5" width="24.44140625" style="73" bestFit="1" customWidth="1"/>
    <col min="6" max="6" width="15.109375" style="78" bestFit="1" customWidth="1"/>
    <col min="7" max="7" width="6.109375" style="79" bestFit="1" customWidth="1"/>
    <col min="8" max="8" width="13.44140625" style="1" bestFit="1" customWidth="1"/>
    <col min="9" max="9" width="10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33</v>
      </c>
      <c r="B2" s="202" t="s">
        <v>11</v>
      </c>
      <c r="C2" s="203"/>
      <c r="D2" s="85"/>
      <c r="E2" s="86" t="s">
        <v>8</v>
      </c>
      <c r="F2" s="35">
        <v>2006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83" t="s">
        <v>870</v>
      </c>
      <c r="D3" s="89"/>
      <c r="E3" s="86" t="s">
        <v>68</v>
      </c>
      <c r="F3" s="35" t="s">
        <v>70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35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166"/>
      <c r="G5" s="92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4984</v>
      </c>
      <c r="D7" s="17" t="s">
        <v>302</v>
      </c>
      <c r="E7" s="18" t="s">
        <v>308</v>
      </c>
      <c r="F7" s="132">
        <v>110000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4984</v>
      </c>
      <c r="D8" s="17" t="s">
        <v>302</v>
      </c>
      <c r="E8" s="18" t="s">
        <v>116</v>
      </c>
      <c r="F8" s="132">
        <v>120000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5122</v>
      </c>
      <c r="D9" s="17" t="s">
        <v>313</v>
      </c>
      <c r="E9" s="18" t="s">
        <v>317</v>
      </c>
      <c r="F9" s="132">
        <v>850000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5122</v>
      </c>
      <c r="D10" s="17" t="s">
        <v>313</v>
      </c>
      <c r="E10" s="18" t="s">
        <v>321</v>
      </c>
      <c r="F10" s="132">
        <v>225000</v>
      </c>
      <c r="G10" s="25">
        <v>500</v>
      </c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5798</v>
      </c>
      <c r="D11" s="17" t="s">
        <v>380</v>
      </c>
      <c r="E11" s="18" t="s">
        <v>381</v>
      </c>
      <c r="F11" s="132"/>
      <c r="G11" s="25">
        <v>250</v>
      </c>
      <c r="H11" s="17" t="s">
        <v>278</v>
      </c>
      <c r="I11" s="17"/>
      <c r="J11" s="117"/>
      <c r="K11" s="17"/>
    </row>
    <row r="12" spans="1:11">
      <c r="A12" s="17">
        <v>6</v>
      </c>
      <c r="B12" s="17"/>
      <c r="C12" s="98">
        <v>7587</v>
      </c>
      <c r="D12" s="135">
        <v>45650</v>
      </c>
      <c r="E12" s="99" t="s">
        <v>657</v>
      </c>
      <c r="F12" s="100">
        <v>35000</v>
      </c>
      <c r="G12" s="101"/>
      <c r="H12" s="98" t="s">
        <v>75</v>
      </c>
      <c r="I12" s="17"/>
      <c r="J12" s="117"/>
      <c r="K12" s="17"/>
    </row>
    <row r="13" spans="1:11">
      <c r="A13" s="17">
        <v>7</v>
      </c>
      <c r="B13" s="17"/>
      <c r="C13" s="98">
        <v>9738</v>
      </c>
      <c r="D13" s="135">
        <v>45913</v>
      </c>
      <c r="E13" s="18" t="s">
        <v>618</v>
      </c>
      <c r="F13" s="132">
        <v>1250000</v>
      </c>
      <c r="G13" s="25"/>
      <c r="H13" s="98" t="s">
        <v>75</v>
      </c>
      <c r="I13" s="17"/>
      <c r="J13" s="117"/>
      <c r="K13" s="17"/>
    </row>
    <row r="14" spans="1:11">
      <c r="A14" s="17">
        <v>8</v>
      </c>
      <c r="B14" s="17"/>
      <c r="C14" s="17">
        <v>9920</v>
      </c>
      <c r="D14" s="130">
        <v>45931</v>
      </c>
      <c r="E14" s="18" t="s">
        <v>1050</v>
      </c>
      <c r="F14" s="132">
        <v>108000</v>
      </c>
      <c r="G14" s="25"/>
      <c r="H14" s="17" t="s">
        <v>75</v>
      </c>
      <c r="I14" s="17"/>
      <c r="J14" s="117"/>
      <c r="K14" s="17"/>
    </row>
    <row r="15" spans="1:11" ht="34.799999999999997">
      <c r="A15" s="17">
        <v>9</v>
      </c>
      <c r="B15" s="17"/>
      <c r="C15" s="17">
        <v>9920</v>
      </c>
      <c r="D15" s="130">
        <v>45931</v>
      </c>
      <c r="E15" s="18" t="s">
        <v>1055</v>
      </c>
      <c r="F15" s="132">
        <v>619000</v>
      </c>
      <c r="G15" s="25"/>
      <c r="H15" s="17" t="s">
        <v>75</v>
      </c>
      <c r="I15" s="17"/>
      <c r="J15" s="117"/>
      <c r="K15" s="17"/>
    </row>
    <row r="16" spans="1:11" ht="52.2">
      <c r="A16" s="17">
        <v>10</v>
      </c>
      <c r="B16" s="17"/>
      <c r="C16" s="98">
        <v>794</v>
      </c>
      <c r="D16" s="98" t="s">
        <v>1178</v>
      </c>
      <c r="E16" s="99" t="s">
        <v>1188</v>
      </c>
      <c r="F16" s="100">
        <v>1310000</v>
      </c>
      <c r="G16" s="101"/>
      <c r="H16" s="98" t="s">
        <v>75</v>
      </c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25"/>
      <c r="H34" s="17"/>
      <c r="I34" s="17"/>
      <c r="J34" s="117"/>
      <c r="K34" s="17"/>
    </row>
    <row r="35" spans="1:11">
      <c r="A35" s="108"/>
      <c r="B35" s="204" t="s">
        <v>98</v>
      </c>
      <c r="C35" s="204"/>
      <c r="D35" s="108"/>
      <c r="E35" s="118"/>
      <c r="F35" s="119">
        <f>SUM(F7:F34)</f>
        <v>4627000</v>
      </c>
      <c r="G35" s="120">
        <f>SUM(G7:G34)</f>
        <v>750</v>
      </c>
      <c r="H35" s="108"/>
      <c r="I35" s="108"/>
      <c r="J35" s="121"/>
      <c r="K35" s="108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  <row r="119" spans="10:10">
      <c r="J119" s="115"/>
    </row>
    <row r="120" spans="10:10">
      <c r="J120" s="115"/>
    </row>
    <row r="121" spans="10:10">
      <c r="J121" s="115"/>
    </row>
    <row r="122" spans="10:10">
      <c r="J122" s="115"/>
    </row>
    <row r="123" spans="10:10">
      <c r="J123" s="115"/>
    </row>
    <row r="124" spans="10:10">
      <c r="J124" s="115"/>
    </row>
    <row r="125" spans="10:10">
      <c r="J125" s="115"/>
    </row>
    <row r="126" spans="10:10">
      <c r="J126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2300-000000000000}"/>
  </hyperlinks>
  <pageMargins left="0.7" right="0.7" top="0.75" bottom="0.75" header="0.3" footer="0.3"/>
  <pageSetup paperSize="9" scale="6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K118"/>
  <sheetViews>
    <sheetView rightToLeft="1" view="pageBreakPreview" zoomScale="150" zoomScaleNormal="100" zoomScaleSheetLayoutView="150" workbookViewId="0">
      <selection activeCell="B8" sqref="B8"/>
    </sheetView>
  </sheetViews>
  <sheetFormatPr defaultColWidth="9.109375" defaultRowHeight="17.399999999999999"/>
  <cols>
    <col min="1" max="1" width="3.5546875" style="1" bestFit="1" customWidth="1"/>
    <col min="2" max="2" width="12.6640625" style="1" bestFit="1" customWidth="1"/>
    <col min="3" max="3" width="15.44140625" style="1" bestFit="1" customWidth="1"/>
    <col min="4" max="4" width="13" style="1" bestFit="1" customWidth="1"/>
    <col min="5" max="5" width="33.44140625" style="73" bestFit="1" customWidth="1"/>
    <col min="6" max="6" width="15.21875" style="78" bestFit="1" customWidth="1"/>
    <col min="7" max="7" width="6.109375" style="79" bestFit="1" customWidth="1"/>
    <col min="8" max="8" width="13.44140625" style="1" bestFit="1" customWidth="1"/>
    <col min="9" max="9" width="9.554687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34</v>
      </c>
      <c r="B2" s="202" t="s">
        <v>11</v>
      </c>
      <c r="C2" s="203"/>
      <c r="D2" s="85"/>
      <c r="E2" s="86" t="s">
        <v>8</v>
      </c>
      <c r="F2" s="35">
        <v>2007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83" t="s">
        <v>871</v>
      </c>
      <c r="D3" s="89"/>
      <c r="E3" s="86" t="s">
        <v>68</v>
      </c>
      <c r="F3" s="35" t="s">
        <v>70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35"/>
      <c r="D4" s="89"/>
      <c r="E4" s="86"/>
      <c r="F4" s="89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166"/>
      <c r="G5" s="92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194</v>
      </c>
      <c r="C7" s="17"/>
      <c r="D7" s="130">
        <v>44928</v>
      </c>
      <c r="E7" s="18" t="s">
        <v>203</v>
      </c>
      <c r="F7" s="132">
        <v>31750</v>
      </c>
      <c r="G7" s="25"/>
      <c r="H7" s="17" t="s">
        <v>121</v>
      </c>
      <c r="I7" s="17"/>
      <c r="J7" s="117"/>
      <c r="K7" s="17"/>
    </row>
    <row r="8" spans="1:11">
      <c r="A8" s="17">
        <v>2</v>
      </c>
      <c r="B8" s="17" t="s">
        <v>138</v>
      </c>
      <c r="C8" s="17"/>
      <c r="D8" s="130">
        <v>45151</v>
      </c>
      <c r="E8" s="18" t="s">
        <v>240</v>
      </c>
      <c r="F8" s="132">
        <v>140000</v>
      </c>
      <c r="G8" s="25"/>
      <c r="H8" s="17" t="s">
        <v>121</v>
      </c>
      <c r="I8" s="17"/>
      <c r="J8" s="117"/>
      <c r="K8" s="17"/>
    </row>
    <row r="9" spans="1:11">
      <c r="A9" s="17">
        <v>3</v>
      </c>
      <c r="B9" s="17"/>
      <c r="C9" s="17">
        <v>5785</v>
      </c>
      <c r="D9" s="17" t="s">
        <v>372</v>
      </c>
      <c r="E9" s="18" t="s">
        <v>190</v>
      </c>
      <c r="F9" s="132">
        <v>553000</v>
      </c>
      <c r="G9" s="25"/>
      <c r="H9" s="17" t="s">
        <v>278</v>
      </c>
      <c r="I9" s="17"/>
      <c r="J9" s="117"/>
      <c r="K9" s="17"/>
    </row>
    <row r="10" spans="1:11">
      <c r="A10" s="17">
        <v>4</v>
      </c>
      <c r="B10" s="17"/>
      <c r="C10" s="17">
        <v>5792</v>
      </c>
      <c r="D10" s="17" t="s">
        <v>373</v>
      </c>
      <c r="E10" s="18" t="s">
        <v>135</v>
      </c>
      <c r="F10" s="132">
        <v>575000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5798</v>
      </c>
      <c r="D11" s="17" t="s">
        <v>380</v>
      </c>
      <c r="E11" s="18" t="s">
        <v>381</v>
      </c>
      <c r="F11" s="132"/>
      <c r="G11" s="25">
        <v>250</v>
      </c>
      <c r="H11" s="17" t="s">
        <v>278</v>
      </c>
      <c r="I11" s="17"/>
      <c r="J11" s="117"/>
      <c r="K11" s="17"/>
    </row>
    <row r="12" spans="1:11">
      <c r="A12" s="17">
        <v>6</v>
      </c>
      <c r="B12" s="17"/>
      <c r="C12" s="17">
        <v>5922</v>
      </c>
      <c r="D12" s="17" t="s">
        <v>391</v>
      </c>
      <c r="E12" s="18" t="s">
        <v>135</v>
      </c>
      <c r="F12" s="132">
        <v>280000</v>
      </c>
      <c r="G12" s="25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>
        <v>9434</v>
      </c>
      <c r="D13" s="130">
        <v>45874</v>
      </c>
      <c r="E13" s="18" t="s">
        <v>999</v>
      </c>
      <c r="F13" s="132">
        <v>25000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98">
        <v>9738</v>
      </c>
      <c r="D14" s="135">
        <v>45913</v>
      </c>
      <c r="E14" s="18" t="s">
        <v>618</v>
      </c>
      <c r="F14" s="132">
        <v>1250000</v>
      </c>
      <c r="G14" s="25"/>
      <c r="H14" s="98" t="s">
        <v>75</v>
      </c>
      <c r="I14" s="17"/>
      <c r="J14" s="117"/>
      <c r="K14" s="17"/>
    </row>
    <row r="15" spans="1:11" ht="25.2" customHeight="1">
      <c r="A15" s="17">
        <v>9</v>
      </c>
      <c r="B15" s="17"/>
      <c r="C15" s="98">
        <v>794</v>
      </c>
      <c r="D15" s="98" t="s">
        <v>1178</v>
      </c>
      <c r="E15" s="99" t="s">
        <v>1187</v>
      </c>
      <c r="F15" s="100">
        <v>340000</v>
      </c>
      <c r="G15" s="101"/>
      <c r="H15" s="98" t="s">
        <v>75</v>
      </c>
      <c r="I15" s="17"/>
      <c r="J15" s="117"/>
      <c r="K15" s="17"/>
    </row>
    <row r="16" spans="1:11" ht="33" customHeight="1">
      <c r="A16" s="17">
        <v>10</v>
      </c>
      <c r="B16" s="17"/>
      <c r="C16" s="18">
        <v>960</v>
      </c>
      <c r="D16" s="133">
        <v>46358</v>
      </c>
      <c r="E16" s="18" t="s">
        <v>1201</v>
      </c>
      <c r="F16" s="134">
        <v>250000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25"/>
      <c r="H31" s="17"/>
      <c r="I31" s="17"/>
      <c r="J31" s="117"/>
      <c r="K31" s="17"/>
    </row>
    <row r="32" spans="1:11">
      <c r="A32" s="108"/>
      <c r="B32" s="204" t="s">
        <v>98</v>
      </c>
      <c r="C32" s="204"/>
      <c r="D32" s="108"/>
      <c r="E32" s="118"/>
      <c r="F32" s="119">
        <f>SUM(F7:F31)</f>
        <v>3444750</v>
      </c>
      <c r="G32" s="120">
        <f>SUM(G7:G31)</f>
        <v>250</v>
      </c>
      <c r="H32" s="108"/>
      <c r="I32" s="108"/>
      <c r="J32" s="121"/>
      <c r="K32" s="108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2:C32"/>
  </mergeCells>
  <hyperlinks>
    <hyperlink ref="K2" location="الاليات!A1" display="الاليات " xr:uid="{00000000-0004-0000-2400-000000000000}"/>
  </hyperlinks>
  <pageMargins left="0.7" right="0.7" top="0.75" bottom="0.75" header="0.3" footer="0.3"/>
  <pageSetup paperSize="9" scale="77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K118"/>
  <sheetViews>
    <sheetView rightToLeft="1" view="pageBreakPreview" zoomScale="140" zoomScaleNormal="130" zoomScaleSheetLayoutView="14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6640625" style="1" bestFit="1" customWidth="1"/>
    <col min="4" max="4" width="12.77734375" style="1" bestFit="1" customWidth="1"/>
    <col min="5" max="5" width="75" style="73" bestFit="1" customWidth="1"/>
    <col min="6" max="6" width="16.33203125" style="78" bestFit="1" customWidth="1"/>
    <col min="7" max="7" width="6.21875" style="122" bestFit="1" customWidth="1"/>
    <col min="8" max="8" width="13.44140625" style="1" bestFit="1" customWidth="1"/>
    <col min="9" max="9" width="10.5546875" style="1" bestFit="1" customWidth="1"/>
    <col min="10" max="10" width="7.218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35</v>
      </c>
      <c r="B2" s="202" t="s">
        <v>12</v>
      </c>
      <c r="C2" s="203"/>
      <c r="D2" s="138"/>
      <c r="E2" s="86" t="s">
        <v>8</v>
      </c>
      <c r="F2" s="17">
        <v>2006</v>
      </c>
      <c r="G2" s="35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873</v>
      </c>
      <c r="D3" s="35"/>
      <c r="E3" s="86" t="s">
        <v>68</v>
      </c>
      <c r="F3" s="17" t="s">
        <v>70</v>
      </c>
      <c r="G3" s="35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35"/>
      <c r="G4" s="17"/>
      <c r="H4" s="17"/>
      <c r="I4" s="17"/>
      <c r="J4" s="17"/>
      <c r="K4" s="17"/>
    </row>
    <row r="5" spans="1:11">
      <c r="A5" s="35"/>
      <c r="B5" s="81" t="s">
        <v>855</v>
      </c>
      <c r="C5" s="35" t="s">
        <v>847</v>
      </c>
      <c r="D5" s="35"/>
      <c r="E5" s="40"/>
      <c r="F5" s="166"/>
      <c r="G5" s="17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139</v>
      </c>
      <c r="C7" s="17"/>
      <c r="D7" s="130">
        <v>44938</v>
      </c>
      <c r="E7" s="18" t="s">
        <v>218</v>
      </c>
      <c r="F7" s="132">
        <v>25000</v>
      </c>
      <c r="G7" s="116"/>
      <c r="H7" s="17" t="s">
        <v>122</v>
      </c>
      <c r="I7" s="17"/>
      <c r="J7" s="117"/>
      <c r="K7" s="17"/>
    </row>
    <row r="8" spans="1:11">
      <c r="A8" s="17">
        <v>2</v>
      </c>
      <c r="B8" s="17"/>
      <c r="C8" s="17">
        <v>4880</v>
      </c>
      <c r="D8" s="130">
        <v>45082</v>
      </c>
      <c r="E8" s="18" t="s">
        <v>296</v>
      </c>
      <c r="F8" s="132">
        <v>35000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7"/>
      <c r="C9" s="17" t="s">
        <v>328</v>
      </c>
      <c r="D9" s="130">
        <v>45084</v>
      </c>
      <c r="E9" s="18" t="s">
        <v>135</v>
      </c>
      <c r="F9" s="132">
        <v>145000</v>
      </c>
      <c r="G9" s="116"/>
      <c r="H9" s="17"/>
      <c r="I9" s="17"/>
      <c r="J9" s="117"/>
      <c r="K9" s="17"/>
    </row>
    <row r="10" spans="1:11">
      <c r="A10" s="17">
        <v>4</v>
      </c>
      <c r="B10" s="17"/>
      <c r="C10" s="18" t="s">
        <v>330</v>
      </c>
      <c r="D10" s="133" t="s">
        <v>329</v>
      </c>
      <c r="E10" s="18" t="s">
        <v>135</v>
      </c>
      <c r="F10" s="132">
        <v>467000</v>
      </c>
      <c r="G10" s="116"/>
      <c r="H10" s="17"/>
      <c r="I10" s="17"/>
      <c r="J10" s="117"/>
      <c r="K10" s="17"/>
    </row>
    <row r="11" spans="1:11">
      <c r="A11" s="17">
        <v>5</v>
      </c>
      <c r="B11" s="17"/>
      <c r="C11" s="17">
        <v>5792</v>
      </c>
      <c r="D11" s="17" t="s">
        <v>373</v>
      </c>
      <c r="E11" s="18" t="s">
        <v>436</v>
      </c>
      <c r="F11" s="132">
        <v>1950000</v>
      </c>
      <c r="G11" s="116"/>
      <c r="H11" s="17" t="s">
        <v>75</v>
      </c>
      <c r="I11" s="17"/>
      <c r="J11" s="117"/>
      <c r="K11" s="17"/>
    </row>
    <row r="12" spans="1:11" ht="36.75" customHeight="1">
      <c r="A12" s="17">
        <v>6</v>
      </c>
      <c r="B12" s="17"/>
      <c r="C12" s="17">
        <v>5922</v>
      </c>
      <c r="D12" s="17" t="s">
        <v>391</v>
      </c>
      <c r="E12" s="18" t="s">
        <v>438</v>
      </c>
      <c r="F12" s="132">
        <v>4670000</v>
      </c>
      <c r="G12" s="116"/>
      <c r="H12" s="17" t="s">
        <v>75</v>
      </c>
      <c r="I12" s="17"/>
      <c r="J12" s="117"/>
      <c r="K12" s="17"/>
    </row>
    <row r="13" spans="1:11" ht="33" customHeight="1">
      <c r="A13" s="17">
        <v>7</v>
      </c>
      <c r="B13" s="17"/>
      <c r="C13" s="17">
        <v>6049</v>
      </c>
      <c r="D13" s="17" t="s">
        <v>401</v>
      </c>
      <c r="E13" s="18" t="s">
        <v>445</v>
      </c>
      <c r="F13" s="132">
        <v>1095000</v>
      </c>
      <c r="G13" s="116"/>
      <c r="H13" s="17" t="s">
        <v>75</v>
      </c>
      <c r="I13" s="17"/>
      <c r="J13" s="117"/>
      <c r="K13" s="17"/>
    </row>
    <row r="14" spans="1:11" ht="27" customHeight="1">
      <c r="A14" s="17">
        <v>8</v>
      </c>
      <c r="B14" s="17"/>
      <c r="C14" s="98">
        <v>7658</v>
      </c>
      <c r="D14" s="135">
        <v>45662</v>
      </c>
      <c r="E14" s="99" t="s">
        <v>675</v>
      </c>
      <c r="F14" s="100">
        <v>570000</v>
      </c>
      <c r="G14" s="127"/>
      <c r="H14" s="98" t="s">
        <v>75</v>
      </c>
      <c r="I14" s="17"/>
      <c r="J14" s="117"/>
      <c r="K14" s="17"/>
    </row>
    <row r="15" spans="1:11">
      <c r="A15" s="17">
        <v>9</v>
      </c>
      <c r="B15" s="17"/>
      <c r="C15" s="98">
        <v>9738</v>
      </c>
      <c r="D15" s="135">
        <v>45913</v>
      </c>
      <c r="E15" s="18" t="s">
        <v>618</v>
      </c>
      <c r="F15" s="132">
        <v>1250000</v>
      </c>
      <c r="G15" s="25"/>
      <c r="H15" s="98" t="s">
        <v>75</v>
      </c>
      <c r="I15" s="17"/>
      <c r="J15" s="117"/>
      <c r="K15" s="17"/>
    </row>
    <row r="16" spans="1:11">
      <c r="A16" s="17">
        <v>10</v>
      </c>
      <c r="B16" s="17"/>
      <c r="C16" s="17">
        <v>519</v>
      </c>
      <c r="D16" s="130">
        <v>46004</v>
      </c>
      <c r="E16" s="18" t="s">
        <v>1122</v>
      </c>
      <c r="F16" s="132">
        <v>90000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883</v>
      </c>
      <c r="D17" s="17" t="s">
        <v>1191</v>
      </c>
      <c r="E17" s="18" t="s">
        <v>1192</v>
      </c>
      <c r="F17" s="132">
        <v>170000</v>
      </c>
      <c r="G17" s="116"/>
      <c r="H17" s="17" t="s">
        <v>75</v>
      </c>
      <c r="I17" s="17"/>
      <c r="J17" s="117"/>
      <c r="K17" s="17"/>
    </row>
    <row r="18" spans="1:11" ht="22.95" customHeight="1">
      <c r="A18" s="17">
        <v>12</v>
      </c>
      <c r="B18" s="17"/>
      <c r="C18" s="17">
        <v>960</v>
      </c>
      <c r="D18" s="130">
        <v>46358</v>
      </c>
      <c r="E18" s="18" t="s">
        <v>1204</v>
      </c>
      <c r="F18" s="132">
        <v>132000</v>
      </c>
      <c r="G18" s="25"/>
      <c r="H18" s="117" t="s">
        <v>75</v>
      </c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08"/>
      <c r="B28" s="204" t="s">
        <v>98</v>
      </c>
      <c r="C28" s="204"/>
      <c r="D28" s="108"/>
      <c r="E28" s="118"/>
      <c r="F28" s="119">
        <f>SUM(F7:F27)</f>
        <v>10599000</v>
      </c>
      <c r="G28" s="120">
        <f>SUM(G7:G27)</f>
        <v>0</v>
      </c>
      <c r="H28" s="108"/>
      <c r="I28" s="108"/>
      <c r="J28" s="121"/>
      <c r="K28" s="108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8:C28"/>
  </mergeCells>
  <hyperlinks>
    <hyperlink ref="K2" location="الاليات!A1" display="الاليات " xr:uid="{00000000-0004-0000-2500-000000000000}"/>
  </hyperlinks>
  <pageMargins left="0.7" right="0.7" top="0.75" bottom="0.75" header="0.3" footer="0.3"/>
  <pageSetup paperSize="9" scale="6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18"/>
  <sheetViews>
    <sheetView rightToLeft="1" zoomScale="150" zoomScaleNormal="150" workbookViewId="0">
      <selection activeCell="B8" sqref="B8"/>
    </sheetView>
  </sheetViews>
  <sheetFormatPr defaultColWidth="9.109375" defaultRowHeight="17.399999999999999"/>
  <cols>
    <col min="1" max="1" width="3.5546875" style="1" bestFit="1" customWidth="1"/>
    <col min="2" max="2" width="12.6640625" style="1" bestFit="1" customWidth="1"/>
    <col min="3" max="3" width="15.33203125" style="1" bestFit="1" customWidth="1"/>
    <col min="4" max="4" width="11.77734375" style="1" bestFit="1" customWidth="1"/>
    <col min="5" max="5" width="14.77734375" style="73" bestFit="1" customWidth="1"/>
    <col min="6" max="6" width="15.21875" style="114" bestFit="1" customWidth="1"/>
    <col min="7" max="7" width="6.109375" style="79" bestFit="1" customWidth="1"/>
    <col min="8" max="8" width="13.44140625" style="1" bestFit="1" customWidth="1"/>
    <col min="9" max="9" width="9.5546875" style="1" bestFit="1" customWidth="1"/>
    <col min="10" max="10" width="5.33203125" style="1" bestFit="1" customWidth="1"/>
    <col min="11" max="11" width="11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36</v>
      </c>
      <c r="B2" s="202" t="s">
        <v>529</v>
      </c>
      <c r="C2" s="203"/>
      <c r="D2" s="85"/>
      <c r="E2" s="86" t="s">
        <v>8</v>
      </c>
      <c r="F2" s="87">
        <v>2017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874</v>
      </c>
      <c r="D3" s="89"/>
      <c r="E3" s="86" t="s">
        <v>68</v>
      </c>
      <c r="F3" s="140" t="s">
        <v>826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140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142"/>
      <c r="G5" s="92"/>
      <c r="H5" s="81"/>
      <c r="I5" s="23"/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4.799999999999997">
      <c r="A7" s="17">
        <v>1</v>
      </c>
      <c r="B7" s="17"/>
      <c r="C7" s="17">
        <v>6490</v>
      </c>
      <c r="D7" s="130">
        <v>45601</v>
      </c>
      <c r="E7" s="18" t="s">
        <v>531</v>
      </c>
      <c r="F7" s="132">
        <v>673500</v>
      </c>
      <c r="G7" s="25"/>
      <c r="H7" s="17" t="s">
        <v>75</v>
      </c>
      <c r="I7" s="17"/>
      <c r="J7" s="117"/>
      <c r="K7" s="17"/>
    </row>
    <row r="8" spans="1:11" ht="34.799999999999997">
      <c r="A8" s="17">
        <v>2</v>
      </c>
      <c r="B8" s="17"/>
      <c r="C8" s="98">
        <v>668</v>
      </c>
      <c r="D8" s="135">
        <v>46082</v>
      </c>
      <c r="E8" s="99" t="s">
        <v>1160</v>
      </c>
      <c r="F8" s="100">
        <v>390000</v>
      </c>
      <c r="G8" s="101"/>
      <c r="H8" s="98" t="s">
        <v>75</v>
      </c>
      <c r="I8" s="17"/>
      <c r="J8" s="117"/>
      <c r="K8" s="17"/>
    </row>
    <row r="9" spans="1:11" ht="34.799999999999997">
      <c r="A9" s="17">
        <v>3</v>
      </c>
      <c r="B9" s="17"/>
      <c r="C9" s="98">
        <v>794</v>
      </c>
      <c r="D9" s="98" t="s">
        <v>1178</v>
      </c>
      <c r="E9" s="99" t="s">
        <v>1186</v>
      </c>
      <c r="F9" s="100">
        <v>440000</v>
      </c>
      <c r="G9" s="101"/>
      <c r="H9" s="98" t="s">
        <v>75</v>
      </c>
      <c r="I9" s="17"/>
      <c r="J9" s="117"/>
      <c r="K9" s="17"/>
    </row>
    <row r="10" spans="1:11">
      <c r="A10" s="17">
        <v>4</v>
      </c>
      <c r="B10" s="17"/>
      <c r="C10" s="17">
        <v>960</v>
      </c>
      <c r="D10" s="130">
        <v>46358</v>
      </c>
      <c r="E10" s="18" t="s">
        <v>1208</v>
      </c>
      <c r="F10" s="132">
        <v>105000</v>
      </c>
      <c r="G10" s="25"/>
      <c r="H10" s="117" t="s">
        <v>75</v>
      </c>
      <c r="I10" s="17"/>
      <c r="J10" s="117"/>
      <c r="K10" s="17"/>
    </row>
    <row r="11" spans="1:11" ht="34.799999999999997">
      <c r="A11" s="17">
        <v>5</v>
      </c>
      <c r="B11" s="17"/>
      <c r="C11" s="17">
        <v>1093</v>
      </c>
      <c r="D11" s="130">
        <v>46086</v>
      </c>
      <c r="E11" s="18" t="s">
        <v>1224</v>
      </c>
      <c r="F11" s="132">
        <v>250000</v>
      </c>
      <c r="G11" s="25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>
        <v>1093</v>
      </c>
      <c r="D12" s="130">
        <v>46086</v>
      </c>
      <c r="E12" s="18" t="s">
        <v>1225</v>
      </c>
      <c r="F12" s="132">
        <v>190000</v>
      </c>
      <c r="G12" s="25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08"/>
      <c r="B31" s="204" t="s">
        <v>98</v>
      </c>
      <c r="C31" s="204"/>
      <c r="D31" s="108"/>
      <c r="E31" s="118"/>
      <c r="F31" s="119">
        <f>SUM(F7:F30)</f>
        <v>2048500</v>
      </c>
      <c r="G31" s="120">
        <f>SUM(G7:G30)</f>
        <v>0</v>
      </c>
      <c r="H31" s="108"/>
      <c r="I31" s="108"/>
      <c r="J31" s="121"/>
      <c r="K31" s="108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1:C31"/>
  </mergeCells>
  <hyperlinks>
    <hyperlink ref="K2" location="الاليات!A1" display="الاليات " xr:uid="{00000000-0004-0000-26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K118"/>
  <sheetViews>
    <sheetView rightToLeft="1" view="pageBreakPreview" topLeftCell="A10" zoomScaleNormal="13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3.88671875" style="1" bestFit="1" customWidth="1"/>
    <col min="4" max="4" width="12.77734375" style="1" bestFit="1" customWidth="1"/>
    <col min="5" max="5" width="17.88671875" style="73" bestFit="1" customWidth="1"/>
    <col min="6" max="6" width="15.109375" style="114" bestFit="1" customWidth="1"/>
    <col min="7" max="7" width="6.21875" style="122" bestFit="1" customWidth="1"/>
    <col min="8" max="8" width="13.44140625" style="1" bestFit="1" customWidth="1"/>
    <col min="9" max="9" width="10.5546875" style="1" bestFit="1" customWidth="1"/>
    <col min="10" max="10" width="5.664062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37</v>
      </c>
      <c r="B2" s="202" t="s">
        <v>19</v>
      </c>
      <c r="C2" s="203"/>
      <c r="D2" s="85"/>
      <c r="E2" s="86" t="s">
        <v>8</v>
      </c>
      <c r="F2" s="140">
        <v>2015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9" t="s">
        <v>79</v>
      </c>
      <c r="D3" s="89"/>
      <c r="E3" s="86" t="s">
        <v>68</v>
      </c>
      <c r="F3" s="87" t="s">
        <v>71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 t="s">
        <v>418</v>
      </c>
      <c r="D7" s="17" t="s">
        <v>419</v>
      </c>
      <c r="E7" s="18" t="s">
        <v>420</v>
      </c>
      <c r="F7" s="132">
        <v>425000</v>
      </c>
      <c r="G7" s="116"/>
      <c r="H7" s="17"/>
      <c r="I7" s="17"/>
      <c r="J7" s="117"/>
      <c r="K7" s="17"/>
    </row>
    <row r="8" spans="1:11" ht="34.799999999999997">
      <c r="A8" s="17">
        <v>2</v>
      </c>
      <c r="B8" s="17"/>
      <c r="C8" s="98">
        <v>6488</v>
      </c>
      <c r="D8" s="135">
        <v>45601</v>
      </c>
      <c r="E8" s="99" t="s">
        <v>518</v>
      </c>
      <c r="F8" s="100">
        <v>195000</v>
      </c>
      <c r="G8" s="101"/>
      <c r="H8" s="98" t="s">
        <v>75</v>
      </c>
      <c r="I8" s="17"/>
      <c r="J8" s="117"/>
      <c r="K8" s="17"/>
    </row>
    <row r="9" spans="1:11" ht="104.4">
      <c r="A9" s="17">
        <v>3</v>
      </c>
      <c r="B9" s="17"/>
      <c r="C9" s="17">
        <v>6633</v>
      </c>
      <c r="D9" s="17" t="s">
        <v>533</v>
      </c>
      <c r="E9" s="18" t="s">
        <v>542</v>
      </c>
      <c r="F9" s="132">
        <v>850000</v>
      </c>
      <c r="G9" s="25"/>
      <c r="H9" s="98" t="s">
        <v>75</v>
      </c>
      <c r="I9" s="17"/>
      <c r="J9" s="117"/>
      <c r="K9" s="17"/>
    </row>
    <row r="10" spans="1:11">
      <c r="A10" s="17">
        <v>4</v>
      </c>
      <c r="B10" s="17"/>
      <c r="C10" s="17"/>
      <c r="D10" s="130">
        <v>45580</v>
      </c>
      <c r="E10" s="18" t="s">
        <v>590</v>
      </c>
      <c r="F10" s="132">
        <v>575000</v>
      </c>
      <c r="G10" s="116"/>
      <c r="H10" s="17" t="s">
        <v>75</v>
      </c>
      <c r="I10" s="17"/>
      <c r="J10" s="117"/>
      <c r="K10" s="17"/>
    </row>
    <row r="11" spans="1:11" ht="34.799999999999997">
      <c r="A11" s="17">
        <v>5</v>
      </c>
      <c r="B11" s="17"/>
      <c r="C11" s="98">
        <v>7717</v>
      </c>
      <c r="D11" s="135">
        <v>45676</v>
      </c>
      <c r="E11" s="99" t="s">
        <v>685</v>
      </c>
      <c r="F11" s="100">
        <v>220000</v>
      </c>
      <c r="G11" s="127"/>
      <c r="H11" s="98" t="s">
        <v>75</v>
      </c>
      <c r="I11" s="17"/>
      <c r="J11" s="117"/>
      <c r="K11" s="17"/>
    </row>
    <row r="12" spans="1:11">
      <c r="A12" s="17">
        <v>6</v>
      </c>
      <c r="B12" s="17"/>
      <c r="C12" s="17">
        <v>7915</v>
      </c>
      <c r="D12" s="130">
        <v>45710</v>
      </c>
      <c r="E12" s="18" t="s">
        <v>698</v>
      </c>
      <c r="F12" s="132">
        <v>5270000</v>
      </c>
      <c r="G12" s="116"/>
      <c r="H12" s="17" t="s">
        <v>699</v>
      </c>
      <c r="I12" s="17"/>
      <c r="J12" s="117"/>
      <c r="K12" s="17"/>
    </row>
    <row r="13" spans="1:11" ht="34.799999999999997">
      <c r="A13" s="17">
        <v>7</v>
      </c>
      <c r="B13" s="17"/>
      <c r="C13" s="99">
        <v>8806</v>
      </c>
      <c r="D13" s="136">
        <v>45791</v>
      </c>
      <c r="E13" s="99" t="s">
        <v>781</v>
      </c>
      <c r="F13" s="137">
        <v>200000</v>
      </c>
      <c r="G13" s="127"/>
      <c r="H13" s="98" t="s">
        <v>75</v>
      </c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116"/>
      <c r="H27" s="17"/>
      <c r="I27" s="17"/>
      <c r="J27" s="117"/>
      <c r="K27" s="17"/>
    </row>
    <row r="28" spans="1:11">
      <c r="A28" s="108"/>
      <c r="B28" s="204" t="s">
        <v>98</v>
      </c>
      <c r="C28" s="204"/>
      <c r="D28" s="108"/>
      <c r="E28" s="118"/>
      <c r="F28" s="119">
        <f>SUM(F7:F27)</f>
        <v>7735000</v>
      </c>
      <c r="G28" s="120">
        <f>SUM(G7:G27)</f>
        <v>0</v>
      </c>
      <c r="H28" s="108"/>
      <c r="I28" s="108"/>
      <c r="J28" s="121"/>
      <c r="K28" s="108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8:C28"/>
  </mergeCells>
  <hyperlinks>
    <hyperlink ref="K2" location="الاليات!A1" display="الاليات " xr:uid="{00000000-0004-0000-2700-000000000000}"/>
  </hyperlinks>
  <pageMargins left="0.7" right="0.7" top="0.75" bottom="0.75" header="0.3" footer="0.3"/>
  <pageSetup paperSize="9" scale="72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4" style="1" bestFit="1" customWidth="1"/>
    <col min="4" max="4" width="12.77734375" style="1" bestFit="1" customWidth="1"/>
    <col min="5" max="5" width="11" style="73" bestFit="1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38</v>
      </c>
      <c r="B2" s="202" t="s">
        <v>876</v>
      </c>
      <c r="C2" s="203"/>
      <c r="D2" s="85"/>
      <c r="E2" s="86" t="s">
        <v>8</v>
      </c>
      <c r="F2" s="87">
        <v>2015</v>
      </c>
      <c r="G2" s="89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875</v>
      </c>
      <c r="D3" s="89"/>
      <c r="E3" s="86" t="s">
        <v>68</v>
      </c>
      <c r="F3" s="140" t="s">
        <v>154</v>
      </c>
      <c r="G3" s="89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81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 t="s">
        <v>265</v>
      </c>
      <c r="D7" s="130">
        <v>45325</v>
      </c>
      <c r="E7" s="18" t="s">
        <v>135</v>
      </c>
      <c r="F7" s="132">
        <v>450000</v>
      </c>
      <c r="G7" s="116"/>
      <c r="H7" s="17"/>
      <c r="I7" s="17"/>
      <c r="J7" s="117"/>
      <c r="K7" s="17"/>
    </row>
    <row r="8" spans="1:11">
      <c r="A8" s="17">
        <v>2</v>
      </c>
      <c r="B8" s="17"/>
      <c r="C8" s="17">
        <v>4880</v>
      </c>
      <c r="D8" s="130">
        <v>45082</v>
      </c>
      <c r="E8" s="18" t="s">
        <v>295</v>
      </c>
      <c r="F8" s="132">
        <v>75000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4984</v>
      </c>
      <c r="D9" s="17" t="s">
        <v>302</v>
      </c>
      <c r="E9" s="18" t="s">
        <v>135</v>
      </c>
      <c r="F9" s="132">
        <v>360000</v>
      </c>
      <c r="G9" s="116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5666</v>
      </c>
      <c r="D10" s="17" t="s">
        <v>151</v>
      </c>
      <c r="E10" s="18" t="s">
        <v>259</v>
      </c>
      <c r="F10" s="132">
        <v>1120000</v>
      </c>
      <c r="G10" s="116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5922</v>
      </c>
      <c r="D11" s="17" t="s">
        <v>391</v>
      </c>
      <c r="E11" s="18" t="s">
        <v>173</v>
      </c>
      <c r="F11" s="132">
        <v>30000</v>
      </c>
      <c r="G11" s="116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116"/>
      <c r="H34" s="17"/>
      <c r="I34" s="17"/>
      <c r="J34" s="117"/>
      <c r="K34" s="17"/>
    </row>
    <row r="35" spans="1:11">
      <c r="A35" s="108"/>
      <c r="B35" s="204" t="s">
        <v>98</v>
      </c>
      <c r="C35" s="204"/>
      <c r="D35" s="108"/>
      <c r="E35" s="118"/>
      <c r="F35" s="119">
        <f>SUM(F7:F34)</f>
        <v>2035000</v>
      </c>
      <c r="G35" s="120">
        <f>SUM(G7:G34)</f>
        <v>0</v>
      </c>
      <c r="H35" s="108"/>
      <c r="I35" s="108"/>
      <c r="J35" s="121"/>
      <c r="K35" s="108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28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K118"/>
  <sheetViews>
    <sheetView rightToLeft="1" view="pageBreakPreview" zoomScale="140" zoomScaleNormal="100" zoomScaleSheetLayoutView="14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4" style="1" bestFit="1" customWidth="1"/>
    <col min="4" max="4" width="12.77734375" style="1" bestFit="1" customWidth="1"/>
    <col min="5" max="5" width="15.44140625" style="73" bestFit="1" customWidth="1"/>
    <col min="6" max="6" width="15.109375" style="78" bestFit="1" customWidth="1"/>
    <col min="7" max="7" width="7.6640625" style="122" bestFit="1" customWidth="1"/>
    <col min="8" max="8" width="13.44140625" style="1" bestFit="1" customWidth="1"/>
    <col min="9" max="9" width="10.5546875" style="1" bestFit="1" customWidth="1"/>
    <col min="10" max="10" width="5.664062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39</v>
      </c>
      <c r="B2" s="202" t="s">
        <v>22</v>
      </c>
      <c r="C2" s="203"/>
      <c r="D2" s="85"/>
      <c r="E2" s="86" t="s">
        <v>8</v>
      </c>
      <c r="F2" s="35" t="s">
        <v>94</v>
      </c>
      <c r="G2" s="89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82</v>
      </c>
      <c r="D3" s="89"/>
      <c r="E3" s="86" t="s">
        <v>68</v>
      </c>
      <c r="F3" s="17" t="s">
        <v>71</v>
      </c>
      <c r="G3" s="89"/>
      <c r="H3" s="89" t="s">
        <v>824</v>
      </c>
      <c r="I3" s="35"/>
      <c r="J3" s="81"/>
      <c r="K3" s="81"/>
    </row>
    <row r="4" spans="1:11">
      <c r="A4" s="35"/>
      <c r="B4" s="89"/>
      <c r="C4" s="35"/>
      <c r="D4" s="89"/>
      <c r="E4" s="86"/>
      <c r="F4" s="35"/>
      <c r="G4" s="81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37"/>
      <c r="G5" s="81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4984</v>
      </c>
      <c r="D7" s="17" t="s">
        <v>302</v>
      </c>
      <c r="E7" s="18" t="s">
        <v>189</v>
      </c>
      <c r="F7" s="132">
        <v>25000</v>
      </c>
      <c r="G7" s="116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6049</v>
      </c>
      <c r="D8" s="17" t="s">
        <v>401</v>
      </c>
      <c r="E8" s="18" t="s">
        <v>304</v>
      </c>
      <c r="F8" s="132">
        <v>325000</v>
      </c>
      <c r="G8" s="116"/>
      <c r="H8" s="17" t="s">
        <v>75</v>
      </c>
      <c r="I8" s="17"/>
      <c r="J8" s="117"/>
      <c r="K8" s="17"/>
    </row>
    <row r="9" spans="1:11" ht="34.799999999999997">
      <c r="A9" s="17">
        <v>3</v>
      </c>
      <c r="B9" s="17"/>
      <c r="C9" s="17">
        <v>7272</v>
      </c>
      <c r="D9" s="130">
        <v>45599</v>
      </c>
      <c r="E9" s="131" t="s">
        <v>622</v>
      </c>
      <c r="F9" s="132"/>
      <c r="G9" s="116">
        <v>1390</v>
      </c>
      <c r="H9" s="17" t="s">
        <v>75</v>
      </c>
      <c r="I9" s="17"/>
      <c r="J9" s="117"/>
      <c r="K9" s="17"/>
    </row>
    <row r="10" spans="1:11" ht="34.799999999999997">
      <c r="A10" s="17">
        <v>4</v>
      </c>
      <c r="B10" s="17"/>
      <c r="C10" s="17">
        <v>7348</v>
      </c>
      <c r="D10" s="130">
        <v>45619</v>
      </c>
      <c r="E10" s="131" t="s">
        <v>621</v>
      </c>
      <c r="F10" s="132">
        <v>705000</v>
      </c>
      <c r="G10" s="116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7882</v>
      </c>
      <c r="D11" s="130">
        <v>45705</v>
      </c>
      <c r="E11" s="18" t="s">
        <v>656</v>
      </c>
      <c r="F11" s="24">
        <v>35000</v>
      </c>
      <c r="G11" s="116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98">
        <v>9738</v>
      </c>
      <c r="D12" s="135">
        <v>45913</v>
      </c>
      <c r="E12" s="99" t="s">
        <v>1038</v>
      </c>
      <c r="F12" s="100">
        <v>190000</v>
      </c>
      <c r="G12" s="101"/>
      <c r="H12" s="98" t="s">
        <v>75</v>
      </c>
      <c r="I12" s="17"/>
      <c r="J12" s="117"/>
      <c r="K12" s="17"/>
    </row>
    <row r="13" spans="1:11">
      <c r="A13" s="17">
        <v>7</v>
      </c>
      <c r="B13" s="17"/>
      <c r="C13" s="17">
        <v>9920</v>
      </c>
      <c r="D13" s="130">
        <v>45931</v>
      </c>
      <c r="E13" s="18" t="s">
        <v>1054</v>
      </c>
      <c r="F13" s="132">
        <v>80000</v>
      </c>
      <c r="G13" s="25"/>
      <c r="H13" s="17" t="s">
        <v>75</v>
      </c>
      <c r="I13" s="17"/>
      <c r="J13" s="117"/>
      <c r="K13" s="17"/>
    </row>
    <row r="14" spans="1:11" ht="34.799999999999997">
      <c r="A14" s="17">
        <v>8</v>
      </c>
      <c r="B14" s="17"/>
      <c r="C14" s="17">
        <v>615</v>
      </c>
      <c r="D14" s="130">
        <v>46018</v>
      </c>
      <c r="E14" s="18" t="s">
        <v>1145</v>
      </c>
      <c r="F14" s="132">
        <v>1400000</v>
      </c>
      <c r="G14" s="25"/>
      <c r="H14" s="117" t="s">
        <v>75</v>
      </c>
      <c r="I14" s="17"/>
      <c r="J14" s="117"/>
      <c r="K14" s="17"/>
    </row>
    <row r="15" spans="1:11">
      <c r="A15" s="17">
        <v>9</v>
      </c>
      <c r="B15" s="17"/>
      <c r="C15" s="98">
        <v>668</v>
      </c>
      <c r="D15" s="135">
        <v>46082</v>
      </c>
      <c r="E15" s="99" t="s">
        <v>1165</v>
      </c>
      <c r="F15" s="100">
        <v>200000</v>
      </c>
      <c r="G15" s="101"/>
      <c r="H15" s="98" t="s">
        <v>75</v>
      </c>
      <c r="I15" s="17"/>
      <c r="J15" s="117"/>
      <c r="K15" s="17"/>
    </row>
    <row r="16" spans="1:11" ht="34.799999999999997">
      <c r="A16" s="17">
        <v>10</v>
      </c>
      <c r="B16" s="17"/>
      <c r="C16" s="17">
        <v>883</v>
      </c>
      <c r="D16" s="17" t="s">
        <v>1191</v>
      </c>
      <c r="E16" s="18" t="s">
        <v>1195</v>
      </c>
      <c r="F16" s="132">
        <v>460000</v>
      </c>
      <c r="G16" s="116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1093</v>
      </c>
      <c r="D17" s="130">
        <v>46086</v>
      </c>
      <c r="E17" s="18" t="s">
        <v>1228</v>
      </c>
      <c r="F17" s="132">
        <v>100000</v>
      </c>
      <c r="G17" s="116"/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17">
        <v>1093</v>
      </c>
      <c r="D18" s="130">
        <v>46086</v>
      </c>
      <c r="E18" s="18" t="s">
        <v>1233</v>
      </c>
      <c r="F18" s="132">
        <v>60000</v>
      </c>
      <c r="G18" s="116"/>
      <c r="H18" s="17" t="s">
        <v>75</v>
      </c>
      <c r="I18" s="17"/>
      <c r="J18" s="117"/>
      <c r="K18" s="17"/>
    </row>
    <row r="19" spans="1:11">
      <c r="A19" s="17">
        <v>13</v>
      </c>
      <c r="B19" s="17"/>
      <c r="C19" s="17">
        <v>1281</v>
      </c>
      <c r="D19" s="17" t="s">
        <v>1256</v>
      </c>
      <c r="E19" s="18" t="s">
        <v>1260</v>
      </c>
      <c r="F19" s="132">
        <v>225000</v>
      </c>
      <c r="G19" s="116"/>
      <c r="H19" s="17" t="s">
        <v>75</v>
      </c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08"/>
      <c r="B35" s="204" t="s">
        <v>98</v>
      </c>
      <c r="C35" s="204"/>
      <c r="D35" s="108"/>
      <c r="E35" s="118"/>
      <c r="F35" s="119">
        <f>SUM(F7:F34)</f>
        <v>3805000</v>
      </c>
      <c r="G35" s="120">
        <f>SUM(G7:G34)</f>
        <v>1390</v>
      </c>
      <c r="H35" s="108"/>
      <c r="I35" s="108"/>
      <c r="J35" s="121"/>
      <c r="K35" s="108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2900-000000000000}"/>
  </hyperlinks>
  <pageMargins left="0.7" right="0.7" top="0.75" bottom="0.75" header="0.3" footer="0.3"/>
  <pageSetup paperSize="9" scale="67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118"/>
  <sheetViews>
    <sheetView rightToLeft="1" zoomScale="140" zoomScaleNormal="140" workbookViewId="0">
      <selection activeCell="K2" sqref="K2"/>
    </sheetView>
  </sheetViews>
  <sheetFormatPr defaultColWidth="9.109375" defaultRowHeight="30" customHeight="1"/>
  <cols>
    <col min="1" max="1" width="3.44140625" style="1" bestFit="1" customWidth="1"/>
    <col min="2" max="2" width="15.33203125" style="1" bestFit="1" customWidth="1"/>
    <col min="3" max="3" width="16.33203125" style="1" bestFit="1" customWidth="1"/>
    <col min="4" max="4" width="12.77734375" style="1" bestFit="1" customWidth="1"/>
    <col min="5" max="5" width="14.109375" style="73" bestFit="1" customWidth="1"/>
    <col min="6" max="6" width="14" style="78" bestFit="1" customWidth="1"/>
    <col min="7" max="7" width="6.109375" style="122" bestFit="1" customWidth="1"/>
    <col min="8" max="8" width="13.44140625" style="1" bestFit="1" customWidth="1"/>
    <col min="9" max="9" width="13.8867187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 ht="30" customHeight="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0" customHeight="1">
      <c r="A2" s="35">
        <v>40</v>
      </c>
      <c r="B2" s="207" t="s">
        <v>690</v>
      </c>
      <c r="C2" s="208"/>
      <c r="D2" s="85"/>
      <c r="E2" s="86" t="s">
        <v>8</v>
      </c>
      <c r="F2" s="17">
        <v>2009</v>
      </c>
      <c r="G2" s="89"/>
      <c r="H2" s="89" t="s">
        <v>100</v>
      </c>
      <c r="I2" s="89"/>
      <c r="J2" s="81"/>
      <c r="K2" s="90" t="s">
        <v>102</v>
      </c>
    </row>
    <row r="3" spans="1:11" ht="30" customHeight="1">
      <c r="A3" s="35"/>
      <c r="B3" s="89" t="s">
        <v>99</v>
      </c>
      <c r="C3" s="123" t="s">
        <v>878</v>
      </c>
      <c r="D3" s="89"/>
      <c r="E3" s="86" t="s">
        <v>68</v>
      </c>
      <c r="F3" s="35" t="s">
        <v>691</v>
      </c>
      <c r="G3" s="89"/>
      <c r="H3" s="89" t="s">
        <v>824</v>
      </c>
      <c r="I3" s="89"/>
      <c r="J3" s="81"/>
      <c r="K3" s="81"/>
    </row>
    <row r="4" spans="1:11" ht="30" customHeight="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 ht="30" customHeight="1">
      <c r="A5" s="35"/>
      <c r="B5" s="17" t="s">
        <v>855</v>
      </c>
      <c r="C5" s="35" t="s">
        <v>847</v>
      </c>
      <c r="D5" s="89"/>
      <c r="E5" s="86"/>
      <c r="F5" s="37"/>
      <c r="G5" s="81"/>
      <c r="H5" s="81"/>
      <c r="I5" s="117"/>
      <c r="J5" s="81"/>
      <c r="K5" s="17"/>
    </row>
    <row r="6" spans="1:11" ht="30" customHeight="1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0" customHeight="1">
      <c r="A7" s="17">
        <v>1</v>
      </c>
      <c r="B7" s="143"/>
      <c r="C7" s="98">
        <v>7717</v>
      </c>
      <c r="D7" s="135">
        <v>45676</v>
      </c>
      <c r="E7" s="18" t="s">
        <v>697</v>
      </c>
      <c r="F7" s="134">
        <v>60000</v>
      </c>
      <c r="G7" s="116"/>
      <c r="H7" s="17" t="s">
        <v>75</v>
      </c>
      <c r="I7" s="81"/>
      <c r="J7" s="23"/>
      <c r="K7" s="81"/>
    </row>
    <row r="8" spans="1:11" ht="30" customHeight="1">
      <c r="A8" s="17">
        <v>3</v>
      </c>
      <c r="B8" s="143"/>
      <c r="C8" s="98">
        <v>7829</v>
      </c>
      <c r="D8" s="135">
        <v>45696</v>
      </c>
      <c r="E8" s="99" t="s">
        <v>704</v>
      </c>
      <c r="F8" s="100">
        <v>25000</v>
      </c>
      <c r="G8" s="101"/>
      <c r="H8" s="98" t="s">
        <v>75</v>
      </c>
      <c r="I8" s="17"/>
      <c r="J8" s="117"/>
      <c r="K8" s="17"/>
    </row>
    <row r="9" spans="1:11" ht="30" customHeight="1">
      <c r="A9" s="17">
        <v>4</v>
      </c>
      <c r="B9" s="143"/>
      <c r="C9" s="143">
        <v>303</v>
      </c>
      <c r="D9" s="144">
        <v>45977</v>
      </c>
      <c r="E9" s="143" t="s">
        <v>1103</v>
      </c>
      <c r="F9" s="145"/>
      <c r="G9" s="116">
        <v>500</v>
      </c>
      <c r="H9" s="17" t="s">
        <v>75</v>
      </c>
      <c r="I9" s="17"/>
      <c r="J9" s="117"/>
      <c r="K9" s="17"/>
    </row>
    <row r="10" spans="1:11" ht="30" customHeight="1">
      <c r="A10" s="17">
        <v>5</v>
      </c>
      <c r="B10" s="143"/>
      <c r="C10" s="98">
        <v>794</v>
      </c>
      <c r="D10" s="98" t="s">
        <v>1178</v>
      </c>
      <c r="E10" s="99" t="s">
        <v>145</v>
      </c>
      <c r="F10" s="100">
        <v>130000</v>
      </c>
      <c r="G10" s="101"/>
      <c r="H10" s="98" t="s">
        <v>75</v>
      </c>
      <c r="I10" s="17"/>
      <c r="J10" s="117"/>
      <c r="K10" s="17"/>
    </row>
    <row r="11" spans="1:11" ht="30" customHeight="1">
      <c r="A11" s="17">
        <v>6</v>
      </c>
      <c r="B11" s="143"/>
      <c r="C11" s="17">
        <v>883</v>
      </c>
      <c r="D11" s="17" t="s">
        <v>1191</v>
      </c>
      <c r="E11" s="18" t="s">
        <v>1196</v>
      </c>
      <c r="F11" s="132">
        <v>115000</v>
      </c>
      <c r="G11" s="116"/>
      <c r="H11" s="17" t="s">
        <v>75</v>
      </c>
      <c r="I11" s="17"/>
      <c r="J11" s="117"/>
      <c r="K11" s="17"/>
    </row>
    <row r="12" spans="1:11" ht="30" customHeight="1">
      <c r="A12" s="17">
        <v>7</v>
      </c>
      <c r="B12" s="17"/>
      <c r="C12" s="17">
        <v>1281</v>
      </c>
      <c r="D12" s="17" t="s">
        <v>1256</v>
      </c>
      <c r="E12" s="18" t="s">
        <v>1257</v>
      </c>
      <c r="F12" s="132">
        <v>790000</v>
      </c>
      <c r="G12" s="25"/>
      <c r="H12" s="17" t="s">
        <v>75</v>
      </c>
      <c r="I12" s="17"/>
      <c r="J12" s="117"/>
      <c r="K12" s="17"/>
    </row>
    <row r="13" spans="1:11" ht="30" customHeight="1">
      <c r="A13" s="17">
        <v>6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 ht="30" customHeight="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 ht="30" customHeight="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 ht="30" customHeight="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 ht="30" customHeight="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 ht="30" customHeight="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 ht="30" customHeight="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 ht="30" customHeight="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 ht="30" customHeight="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 ht="30" customHeight="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 ht="30" customHeight="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 ht="30" customHeight="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 ht="30" customHeight="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 ht="30" customHeight="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 ht="30" customHeight="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 ht="30" customHeight="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 ht="30" customHeight="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 ht="30" customHeight="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 ht="30" customHeight="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 ht="30" customHeight="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 ht="30" customHeight="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 ht="30" customHeight="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 ht="30" customHeight="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 ht="30" customHeight="1">
      <c r="A36" s="84"/>
      <c r="B36" s="84" t="s">
        <v>877</v>
      </c>
      <c r="C36" s="84"/>
      <c r="D36" s="84"/>
      <c r="E36" s="97"/>
      <c r="F36" s="181">
        <f>SUM(F7:F35)</f>
        <v>1120000</v>
      </c>
      <c r="G36" s="182">
        <f>SUM(G7:G35)</f>
        <v>500</v>
      </c>
      <c r="H36" s="84"/>
      <c r="I36" s="84"/>
      <c r="J36" s="70"/>
      <c r="K36" s="84"/>
    </row>
    <row r="37" spans="1:11" ht="30" customHeight="1">
      <c r="J37" s="115"/>
    </row>
    <row r="38" spans="1:11" ht="30" customHeight="1">
      <c r="J38" s="115"/>
    </row>
    <row r="39" spans="1:11" ht="30" customHeight="1">
      <c r="J39" s="115"/>
    </row>
    <row r="40" spans="1:11" ht="30" customHeight="1">
      <c r="J40" s="115"/>
    </row>
    <row r="41" spans="1:11" ht="30" customHeight="1">
      <c r="J41" s="115"/>
    </row>
    <row r="42" spans="1:11" ht="30" customHeight="1">
      <c r="J42" s="115"/>
    </row>
    <row r="43" spans="1:11" ht="30" customHeight="1">
      <c r="J43" s="115"/>
    </row>
    <row r="44" spans="1:11" ht="30" customHeight="1">
      <c r="J44" s="115"/>
    </row>
    <row r="45" spans="1:11" ht="30" customHeight="1">
      <c r="J45" s="115"/>
    </row>
    <row r="46" spans="1:11" ht="30" customHeight="1">
      <c r="J46" s="115"/>
    </row>
    <row r="47" spans="1:11" ht="30" customHeight="1">
      <c r="J47" s="115"/>
    </row>
    <row r="48" spans="1:11" ht="30" customHeight="1">
      <c r="J48" s="115"/>
    </row>
    <row r="49" spans="10:10" ht="30" customHeight="1">
      <c r="J49" s="115"/>
    </row>
    <row r="50" spans="10:10" ht="30" customHeight="1">
      <c r="J50" s="115"/>
    </row>
    <row r="51" spans="10:10" ht="30" customHeight="1">
      <c r="J51" s="115"/>
    </row>
    <row r="52" spans="10:10" ht="30" customHeight="1">
      <c r="J52" s="115"/>
    </row>
    <row r="53" spans="10:10" ht="30" customHeight="1">
      <c r="J53" s="115"/>
    </row>
    <row r="54" spans="10:10" ht="30" customHeight="1">
      <c r="J54" s="115"/>
    </row>
    <row r="55" spans="10:10" ht="30" customHeight="1">
      <c r="J55" s="115"/>
    </row>
    <row r="56" spans="10:10" ht="30" customHeight="1">
      <c r="J56" s="115"/>
    </row>
    <row r="57" spans="10:10" ht="30" customHeight="1">
      <c r="J57" s="115"/>
    </row>
    <row r="58" spans="10:10" ht="30" customHeight="1">
      <c r="J58" s="115"/>
    </row>
    <row r="59" spans="10:10" ht="30" customHeight="1">
      <c r="J59" s="115"/>
    </row>
    <row r="60" spans="10:10" ht="30" customHeight="1">
      <c r="J60" s="115"/>
    </row>
    <row r="61" spans="10:10" ht="30" customHeight="1">
      <c r="J61" s="115"/>
    </row>
    <row r="62" spans="10:10" ht="30" customHeight="1">
      <c r="J62" s="115"/>
    </row>
    <row r="63" spans="10:10" ht="30" customHeight="1">
      <c r="J63" s="115"/>
    </row>
    <row r="64" spans="10:10" ht="30" customHeight="1">
      <c r="J64" s="115"/>
    </row>
    <row r="65" spans="10:10" ht="30" customHeight="1">
      <c r="J65" s="115"/>
    </row>
    <row r="66" spans="10:10" ht="30" customHeight="1">
      <c r="J66" s="115"/>
    </row>
    <row r="67" spans="10:10" ht="30" customHeight="1">
      <c r="J67" s="115"/>
    </row>
    <row r="68" spans="10:10" ht="30" customHeight="1">
      <c r="J68" s="115"/>
    </row>
    <row r="69" spans="10:10" ht="30" customHeight="1">
      <c r="J69" s="115"/>
    </row>
    <row r="70" spans="10:10" ht="30" customHeight="1">
      <c r="J70" s="115"/>
    </row>
    <row r="71" spans="10:10" ht="30" customHeight="1">
      <c r="J71" s="115"/>
    </row>
    <row r="72" spans="10:10" ht="30" customHeight="1">
      <c r="J72" s="115"/>
    </row>
    <row r="73" spans="10:10" ht="30" customHeight="1">
      <c r="J73" s="115"/>
    </row>
    <row r="74" spans="10:10" ht="30" customHeight="1">
      <c r="J74" s="115"/>
    </row>
    <row r="75" spans="10:10" ht="30" customHeight="1">
      <c r="J75" s="115"/>
    </row>
    <row r="76" spans="10:10" ht="30" customHeight="1">
      <c r="J76" s="115"/>
    </row>
    <row r="77" spans="10:10" ht="30" customHeight="1">
      <c r="J77" s="115"/>
    </row>
    <row r="78" spans="10:10" ht="30" customHeight="1">
      <c r="J78" s="115"/>
    </row>
    <row r="79" spans="10:10" ht="30" customHeight="1">
      <c r="J79" s="115"/>
    </row>
    <row r="80" spans="10:10" ht="30" customHeight="1">
      <c r="J80" s="115"/>
    </row>
    <row r="81" spans="10:10" ht="30" customHeight="1">
      <c r="J81" s="115"/>
    </row>
    <row r="82" spans="10:10" ht="30" customHeight="1">
      <c r="J82" s="115"/>
    </row>
    <row r="83" spans="10:10" ht="30" customHeight="1">
      <c r="J83" s="115"/>
    </row>
    <row r="84" spans="10:10" ht="30" customHeight="1">
      <c r="J84" s="115"/>
    </row>
    <row r="85" spans="10:10" ht="30" customHeight="1">
      <c r="J85" s="115"/>
    </row>
    <row r="86" spans="10:10" ht="30" customHeight="1">
      <c r="J86" s="115"/>
    </row>
    <row r="87" spans="10:10" ht="30" customHeight="1">
      <c r="J87" s="115"/>
    </row>
    <row r="88" spans="10:10" ht="30" customHeight="1">
      <c r="J88" s="115"/>
    </row>
    <row r="89" spans="10:10" ht="30" customHeight="1">
      <c r="J89" s="115"/>
    </row>
    <row r="90" spans="10:10" ht="30" customHeight="1">
      <c r="J90" s="115"/>
    </row>
    <row r="91" spans="10:10" ht="30" customHeight="1">
      <c r="J91" s="115"/>
    </row>
    <row r="92" spans="10:10" ht="30" customHeight="1">
      <c r="J92" s="115"/>
    </row>
    <row r="93" spans="10:10" ht="30" customHeight="1">
      <c r="J93" s="115"/>
    </row>
    <row r="94" spans="10:10" ht="30" customHeight="1">
      <c r="J94" s="115"/>
    </row>
    <row r="95" spans="10:10" ht="30" customHeight="1">
      <c r="J95" s="115"/>
    </row>
    <row r="96" spans="10:10" ht="30" customHeight="1">
      <c r="J96" s="115"/>
    </row>
    <row r="97" spans="10:10" ht="30" customHeight="1">
      <c r="J97" s="115"/>
    </row>
    <row r="98" spans="10:10" ht="30" customHeight="1">
      <c r="J98" s="115"/>
    </row>
    <row r="99" spans="10:10" ht="30" customHeight="1">
      <c r="J99" s="115"/>
    </row>
    <row r="100" spans="10:10" ht="30" customHeight="1">
      <c r="J100" s="115"/>
    </row>
    <row r="101" spans="10:10" ht="30" customHeight="1">
      <c r="J101" s="115"/>
    </row>
    <row r="102" spans="10:10" ht="30" customHeight="1">
      <c r="J102" s="115"/>
    </row>
    <row r="103" spans="10:10" ht="30" customHeight="1">
      <c r="J103" s="115"/>
    </row>
    <row r="104" spans="10:10" ht="30" customHeight="1">
      <c r="J104" s="115"/>
    </row>
    <row r="105" spans="10:10" ht="30" customHeight="1">
      <c r="J105" s="115"/>
    </row>
    <row r="106" spans="10:10" ht="30" customHeight="1">
      <c r="J106" s="115"/>
    </row>
    <row r="107" spans="10:10" ht="30" customHeight="1">
      <c r="J107" s="115"/>
    </row>
    <row r="108" spans="10:10" ht="30" customHeight="1">
      <c r="J108" s="115"/>
    </row>
    <row r="109" spans="10:10" ht="30" customHeight="1">
      <c r="J109" s="115"/>
    </row>
    <row r="110" spans="10:10" ht="30" customHeight="1">
      <c r="J110" s="115"/>
    </row>
    <row r="111" spans="10:10" ht="30" customHeight="1">
      <c r="J111" s="115"/>
    </row>
    <row r="112" spans="10:10" ht="30" customHeight="1">
      <c r="J112" s="115"/>
    </row>
    <row r="113" spans="10:10" ht="30" customHeight="1">
      <c r="J113" s="115"/>
    </row>
    <row r="114" spans="10:10" ht="30" customHeight="1">
      <c r="J114" s="115"/>
    </row>
    <row r="115" spans="10:10" ht="30" customHeight="1">
      <c r="J115" s="115"/>
    </row>
    <row r="116" spans="10:10" ht="30" customHeight="1">
      <c r="J116" s="115"/>
    </row>
    <row r="117" spans="10:10" ht="30" customHeight="1">
      <c r="J117" s="115"/>
    </row>
    <row r="118" spans="10:10" ht="30" customHeight="1">
      <c r="J118" s="115"/>
    </row>
  </sheetData>
  <mergeCells count="2">
    <mergeCell ref="A1:K1"/>
    <mergeCell ref="B2:C2"/>
  </mergeCells>
  <hyperlinks>
    <hyperlink ref="K2" location="الاليات!A1" display="الاليات " xr:uid="{00000000-0004-0000-2A00-000000000000}"/>
  </hyperlinks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K139"/>
  <sheetViews>
    <sheetView rightToLeft="1" view="pageBreakPreview" zoomScaleNormal="100" zoomScaleSheetLayoutView="10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4.44140625" style="1" customWidth="1"/>
    <col min="4" max="4" width="12.77734375" style="1" bestFit="1" customWidth="1"/>
    <col min="5" max="5" width="41.88671875" style="73" bestFit="1" customWidth="1"/>
    <col min="6" max="6" width="16.33203125" style="78" bestFit="1" customWidth="1"/>
    <col min="7" max="7" width="7.6640625" style="122" bestFit="1" customWidth="1"/>
    <col min="8" max="8" width="13.44140625" style="1" bestFit="1" customWidth="1"/>
    <col min="9" max="9" width="16.6640625" style="1" bestFit="1" customWidth="1"/>
    <col min="10" max="10" width="6.6640625" style="1" bestFit="1" customWidth="1"/>
    <col min="11" max="11" width="9.2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41</v>
      </c>
      <c r="B2" s="202" t="s">
        <v>21</v>
      </c>
      <c r="C2" s="203"/>
      <c r="D2" s="85"/>
      <c r="E2" s="86" t="s">
        <v>8</v>
      </c>
      <c r="F2" s="35">
        <v>2008</v>
      </c>
      <c r="G2" s="89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79" t="s">
        <v>879</v>
      </c>
      <c r="D3" s="89"/>
      <c r="E3" s="86" t="s">
        <v>68</v>
      </c>
      <c r="F3" s="17" t="s">
        <v>71</v>
      </c>
      <c r="G3" s="89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17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117"/>
      <c r="J5" s="81"/>
      <c r="K5" s="17"/>
    </row>
    <row r="6" spans="1:11" s="73" customFormat="1" ht="34.799999999999997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880</v>
      </c>
      <c r="J6" s="94" t="s">
        <v>970</v>
      </c>
      <c r="K6" s="97"/>
    </row>
    <row r="7" spans="1:11">
      <c r="A7" s="17">
        <v>1</v>
      </c>
      <c r="B7" s="17" t="s">
        <v>121</v>
      </c>
      <c r="C7" s="17"/>
      <c r="D7" s="130">
        <v>45048</v>
      </c>
      <c r="E7" s="18" t="s">
        <v>223</v>
      </c>
      <c r="F7" s="132">
        <v>500000</v>
      </c>
      <c r="G7" s="25"/>
      <c r="H7" s="17" t="s">
        <v>121</v>
      </c>
      <c r="I7" s="17"/>
      <c r="J7" s="117"/>
      <c r="K7" s="17"/>
    </row>
    <row r="8" spans="1:11">
      <c r="A8" s="17">
        <v>2</v>
      </c>
      <c r="B8" s="17" t="s">
        <v>140</v>
      </c>
      <c r="C8" s="17"/>
      <c r="D8" s="130">
        <v>45158</v>
      </c>
      <c r="E8" s="18" t="s">
        <v>242</v>
      </c>
      <c r="F8" s="132">
        <v>25000</v>
      </c>
      <c r="G8" s="25"/>
      <c r="H8" s="17" t="s">
        <v>121</v>
      </c>
      <c r="I8" s="17"/>
      <c r="J8" s="117"/>
      <c r="K8" s="17"/>
    </row>
    <row r="9" spans="1:11">
      <c r="A9" s="17">
        <v>3</v>
      </c>
      <c r="B9" s="17" t="s">
        <v>121</v>
      </c>
      <c r="C9" s="17"/>
      <c r="D9" s="130">
        <v>45160</v>
      </c>
      <c r="E9" s="18" t="s">
        <v>241</v>
      </c>
      <c r="F9" s="132">
        <v>100000</v>
      </c>
      <c r="G9" s="25"/>
      <c r="H9" s="17" t="s">
        <v>121</v>
      </c>
      <c r="I9" s="17"/>
      <c r="J9" s="117"/>
      <c r="K9" s="17"/>
    </row>
    <row r="10" spans="1:11">
      <c r="A10" s="17">
        <v>4</v>
      </c>
      <c r="B10" s="17" t="s">
        <v>75</v>
      </c>
      <c r="C10" s="17">
        <v>4560</v>
      </c>
      <c r="D10" s="17" t="s">
        <v>257</v>
      </c>
      <c r="E10" s="18" t="s">
        <v>169</v>
      </c>
      <c r="F10" s="132">
        <v>60000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5122</v>
      </c>
      <c r="D11" s="17" t="s">
        <v>313</v>
      </c>
      <c r="E11" s="18" t="s">
        <v>318</v>
      </c>
      <c r="F11" s="132"/>
      <c r="G11" s="25">
        <v>1000</v>
      </c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>
        <v>6145</v>
      </c>
      <c r="D12" s="130" t="s">
        <v>412</v>
      </c>
      <c r="E12" s="99" t="s">
        <v>146</v>
      </c>
      <c r="F12" s="132">
        <v>2350000</v>
      </c>
      <c r="G12" s="25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>
        <v>6263</v>
      </c>
      <c r="D13" s="130">
        <v>45325</v>
      </c>
      <c r="E13" s="18" t="s">
        <v>424</v>
      </c>
      <c r="F13" s="132">
        <v>625000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>
        <v>6488</v>
      </c>
      <c r="D14" s="130">
        <v>45601</v>
      </c>
      <c r="E14" s="18" t="s">
        <v>522</v>
      </c>
      <c r="F14" s="132">
        <v>447000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98">
        <v>7071</v>
      </c>
      <c r="D15" s="135">
        <v>45560</v>
      </c>
      <c r="E15" s="99" t="s">
        <v>579</v>
      </c>
      <c r="F15" s="100">
        <v>250000</v>
      </c>
      <c r="G15" s="101"/>
      <c r="H15" s="98" t="s">
        <v>75</v>
      </c>
      <c r="I15" s="17"/>
      <c r="J15" s="117"/>
      <c r="K15" s="17"/>
    </row>
    <row r="16" spans="1:11" ht="25.5" customHeight="1">
      <c r="A16" s="17">
        <v>10</v>
      </c>
      <c r="B16" s="17"/>
      <c r="C16" s="17">
        <v>7915</v>
      </c>
      <c r="D16" s="130">
        <v>45710</v>
      </c>
      <c r="E16" s="18" t="s">
        <v>700</v>
      </c>
      <c r="F16" s="132">
        <v>1125000</v>
      </c>
      <c r="G16" s="116"/>
      <c r="H16" s="17" t="s">
        <v>699</v>
      </c>
      <c r="I16" s="17"/>
      <c r="J16" s="117"/>
      <c r="K16" s="17"/>
    </row>
    <row r="17" spans="1:11">
      <c r="A17" s="17">
        <v>11</v>
      </c>
      <c r="B17" s="17"/>
      <c r="C17" s="17">
        <v>8152</v>
      </c>
      <c r="D17" s="130">
        <v>45760</v>
      </c>
      <c r="E17" s="18" t="s">
        <v>751</v>
      </c>
      <c r="F17" s="132">
        <v>45000</v>
      </c>
      <c r="G17" s="25"/>
      <c r="H17" s="117" t="s">
        <v>75</v>
      </c>
      <c r="I17" s="17"/>
      <c r="J17" s="117"/>
      <c r="K17" s="17"/>
    </row>
    <row r="18" spans="1:11" ht="17.25" customHeight="1">
      <c r="A18" s="17">
        <v>12</v>
      </c>
      <c r="B18" s="17"/>
      <c r="C18" s="17">
        <v>101</v>
      </c>
      <c r="D18" s="130" t="s">
        <v>1062</v>
      </c>
      <c r="E18" s="18" t="s">
        <v>1068</v>
      </c>
      <c r="F18" s="132">
        <v>7195000</v>
      </c>
      <c r="G18" s="25"/>
      <c r="H18" s="17" t="s">
        <v>75</v>
      </c>
      <c r="I18" s="17"/>
      <c r="J18" s="117"/>
      <c r="K18" s="17"/>
    </row>
    <row r="19" spans="1:11" ht="33.75" customHeight="1">
      <c r="A19" s="17">
        <v>13</v>
      </c>
      <c r="B19" s="17"/>
      <c r="C19" s="99">
        <v>303</v>
      </c>
      <c r="D19" s="136">
        <v>45977</v>
      </c>
      <c r="E19" s="99" t="s">
        <v>1105</v>
      </c>
      <c r="F19" s="137">
        <v>755000</v>
      </c>
      <c r="G19" s="101"/>
      <c r="H19" s="98" t="s">
        <v>75</v>
      </c>
      <c r="I19" s="17"/>
      <c r="J19" s="117"/>
      <c r="K19" s="17"/>
    </row>
    <row r="20" spans="1:11">
      <c r="A20" s="17">
        <v>14</v>
      </c>
      <c r="B20" s="17"/>
      <c r="C20" s="17">
        <v>615</v>
      </c>
      <c r="D20" s="130">
        <v>46018</v>
      </c>
      <c r="E20" s="18" t="s">
        <v>1147</v>
      </c>
      <c r="F20" s="132">
        <v>50000</v>
      </c>
      <c r="G20" s="25"/>
      <c r="H20" s="117" t="s">
        <v>75</v>
      </c>
      <c r="I20" s="17"/>
      <c r="J20" s="117"/>
      <c r="K20" s="17"/>
    </row>
    <row r="21" spans="1:11">
      <c r="A21" s="17">
        <v>15</v>
      </c>
      <c r="B21" s="17"/>
      <c r="C21" s="98">
        <v>668</v>
      </c>
      <c r="D21" s="135">
        <v>46082</v>
      </c>
      <c r="E21" s="99" t="s">
        <v>1166</v>
      </c>
      <c r="F21" s="100">
        <v>225000</v>
      </c>
      <c r="G21" s="101"/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98">
        <v>1394</v>
      </c>
      <c r="D22" s="135">
        <v>46300</v>
      </c>
      <c r="E22" s="99" t="s">
        <v>1275</v>
      </c>
      <c r="F22" s="100">
        <v>170000</v>
      </c>
      <c r="G22" s="127"/>
      <c r="H22" s="98" t="s">
        <v>75</v>
      </c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24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24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24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24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24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24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24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24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24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24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24"/>
      <c r="G46" s="25"/>
      <c r="H46" s="17"/>
      <c r="I46" s="17"/>
      <c r="J46" s="117"/>
      <c r="K46" s="17"/>
    </row>
    <row r="47" spans="1:11">
      <c r="A47" s="17">
        <v>41</v>
      </c>
      <c r="B47" s="17"/>
      <c r="C47" s="17"/>
      <c r="D47" s="17"/>
      <c r="E47" s="18"/>
      <c r="F47" s="24"/>
      <c r="G47" s="25"/>
      <c r="H47" s="17"/>
      <c r="I47" s="17"/>
      <c r="J47" s="117"/>
      <c r="K47" s="17"/>
    </row>
    <row r="48" spans="1:11">
      <c r="A48" s="108"/>
      <c r="B48" s="204" t="s">
        <v>98</v>
      </c>
      <c r="C48" s="204"/>
      <c r="D48" s="108"/>
      <c r="E48" s="118"/>
      <c r="F48" s="119">
        <f>SUM(F7:F47)</f>
        <v>13922000</v>
      </c>
      <c r="G48" s="120">
        <f>SUM(G7:G47)</f>
        <v>1000</v>
      </c>
      <c r="H48" s="108"/>
      <c r="I48" s="108"/>
      <c r="J48" s="121"/>
      <c r="K48" s="108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  <row r="119" spans="10:10">
      <c r="J119" s="115"/>
    </row>
    <row r="120" spans="10:10">
      <c r="J120" s="115"/>
    </row>
    <row r="121" spans="10:10">
      <c r="J121" s="115"/>
    </row>
    <row r="122" spans="10:10">
      <c r="J122" s="115"/>
    </row>
    <row r="123" spans="10:10">
      <c r="J123" s="115"/>
    </row>
    <row r="124" spans="10:10">
      <c r="J124" s="115"/>
    </row>
    <row r="125" spans="10:10">
      <c r="J125" s="115"/>
    </row>
    <row r="126" spans="10:10">
      <c r="J126" s="115"/>
    </row>
    <row r="127" spans="10:10">
      <c r="J127" s="115"/>
    </row>
    <row r="128" spans="10:10">
      <c r="J128" s="115"/>
    </row>
    <row r="129" spans="10:10">
      <c r="J129" s="115"/>
    </row>
    <row r="130" spans="10:10">
      <c r="J130" s="115"/>
    </row>
    <row r="131" spans="10:10">
      <c r="J131" s="115"/>
    </row>
    <row r="132" spans="10:10">
      <c r="J132" s="115"/>
    </row>
    <row r="133" spans="10:10">
      <c r="J133" s="115"/>
    </row>
    <row r="134" spans="10:10">
      <c r="J134" s="115"/>
    </row>
    <row r="135" spans="10:10">
      <c r="J135" s="115"/>
    </row>
    <row r="136" spans="10:10">
      <c r="J136" s="115"/>
    </row>
    <row r="137" spans="10:10">
      <c r="J137" s="115"/>
    </row>
    <row r="138" spans="10:10">
      <c r="J138" s="115"/>
    </row>
    <row r="139" spans="10:10">
      <c r="J139" s="115"/>
    </row>
  </sheetData>
  <mergeCells count="3">
    <mergeCell ref="A1:K1"/>
    <mergeCell ref="B2:C2"/>
    <mergeCell ref="B48:C48"/>
  </mergeCells>
  <hyperlinks>
    <hyperlink ref="K2" location="الاليات!A1" display="الاليات " xr:uid="{00000000-0004-0000-2B00-000000000000}"/>
  </hyperlinks>
  <pageMargins left="0.7" right="0.7" top="0.75" bottom="0.75" header="0.3" footer="0.3"/>
  <pageSetup paperSize="9" scale="53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  <pageSetUpPr fitToPage="1"/>
  </sheetPr>
  <dimension ref="A1:K118"/>
  <sheetViews>
    <sheetView rightToLeft="1" view="pageBreakPreview" zoomScaleNormal="13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2.77734375" style="1" bestFit="1" customWidth="1"/>
    <col min="4" max="4" width="4.5546875" style="1" bestFit="1" customWidth="1"/>
    <col min="5" max="5" width="11.109375" style="73" bestFit="1" customWidth="1"/>
    <col min="6" max="6" width="10.5546875" style="114" bestFit="1" customWidth="1"/>
    <col min="7" max="7" width="6.21875" style="79" bestFit="1" customWidth="1"/>
    <col min="8" max="8" width="13.44140625" style="1" bestFit="1" customWidth="1"/>
    <col min="9" max="9" width="10.21875" style="1" bestFit="1" customWidth="1"/>
    <col min="10" max="10" width="7.21875" style="1" bestFit="1" customWidth="1"/>
    <col min="11" max="11" width="14.664062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42</v>
      </c>
      <c r="B2" s="202" t="s">
        <v>14</v>
      </c>
      <c r="C2" s="203"/>
      <c r="D2" s="85"/>
      <c r="E2" s="86" t="s">
        <v>8</v>
      </c>
      <c r="F2" s="87">
        <v>2007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881</v>
      </c>
      <c r="D3" s="89"/>
      <c r="E3" s="86" t="s">
        <v>68</v>
      </c>
      <c r="F3" s="87" t="s">
        <v>70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/>
      <c r="D7" s="17"/>
      <c r="E7" s="18"/>
      <c r="F7" s="132"/>
      <c r="G7" s="25"/>
      <c r="H7" s="17"/>
      <c r="I7" s="17"/>
      <c r="J7" s="117"/>
      <c r="K7" s="17"/>
    </row>
    <row r="8" spans="1:11">
      <c r="A8" s="17">
        <v>2</v>
      </c>
      <c r="B8" s="17"/>
      <c r="C8" s="17"/>
      <c r="D8" s="17"/>
      <c r="E8" s="18"/>
      <c r="F8" s="132"/>
      <c r="G8" s="25"/>
      <c r="H8" s="17"/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132"/>
      <c r="G9" s="25"/>
      <c r="H9" s="17"/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132"/>
      <c r="G10" s="25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132"/>
      <c r="G11" s="25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08"/>
      <c r="B35" s="204" t="s">
        <v>98</v>
      </c>
      <c r="C35" s="204"/>
      <c r="D35" s="108"/>
      <c r="E35" s="118"/>
      <c r="F35" s="119">
        <f>SUM(F7:F34)</f>
        <v>0</v>
      </c>
      <c r="G35" s="120">
        <f>SUM(G7:G34)</f>
        <v>0</v>
      </c>
      <c r="H35" s="108"/>
      <c r="I35" s="108"/>
      <c r="J35" s="121"/>
      <c r="K35" s="108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2C00-000000000000}"/>
  </hyperlinks>
  <pageMargins left="0.7" right="0.7" top="0.75" bottom="0.75" header="0.3" footer="0.3"/>
  <pageSetup paperSize="9" scale="72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118"/>
  <sheetViews>
    <sheetView rightToLeft="1" zoomScale="150" zoomScaleNormal="15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3.44140625" style="1" bestFit="1" customWidth="1"/>
    <col min="4" max="4" width="11.5546875" style="1" bestFit="1" customWidth="1"/>
    <col min="5" max="5" width="19.21875" style="73" customWidth="1"/>
    <col min="6" max="6" width="15.218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9.2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52.2">
      <c r="A2" s="35">
        <v>43</v>
      </c>
      <c r="B2" s="202" t="s">
        <v>882</v>
      </c>
      <c r="C2" s="203"/>
      <c r="D2" s="85"/>
      <c r="E2" s="86" t="s">
        <v>8</v>
      </c>
      <c r="F2" s="87">
        <v>2006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883</v>
      </c>
      <c r="D3" s="89"/>
      <c r="E3" s="86" t="s">
        <v>68</v>
      </c>
      <c r="F3" s="140" t="s">
        <v>826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89"/>
      <c r="D4" s="89"/>
      <c r="E4" s="86"/>
      <c r="F4" s="140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117"/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4.799999999999997">
      <c r="A7" s="17">
        <v>1</v>
      </c>
      <c r="B7" s="17"/>
      <c r="C7" s="17">
        <v>6490</v>
      </c>
      <c r="D7" s="130">
        <v>45601</v>
      </c>
      <c r="E7" s="18" t="s">
        <v>530</v>
      </c>
      <c r="F7" s="132">
        <v>160000</v>
      </c>
      <c r="G7" s="25"/>
      <c r="H7" s="17" t="s">
        <v>75</v>
      </c>
      <c r="I7" s="17"/>
      <c r="J7" s="117"/>
      <c r="K7" s="17"/>
    </row>
    <row r="8" spans="1:11" ht="52.2">
      <c r="A8" s="17">
        <v>2</v>
      </c>
      <c r="B8" s="17"/>
      <c r="C8" s="98">
        <v>1394</v>
      </c>
      <c r="D8" s="135">
        <v>46300</v>
      </c>
      <c r="E8" s="99" t="s">
        <v>1276</v>
      </c>
      <c r="F8" s="100">
        <v>1800000</v>
      </c>
      <c r="G8" s="127"/>
      <c r="H8" s="98" t="s">
        <v>75</v>
      </c>
      <c r="I8" s="17"/>
      <c r="J8" s="117"/>
      <c r="K8" s="17"/>
    </row>
    <row r="9" spans="1:11">
      <c r="A9" s="17">
        <v>3</v>
      </c>
      <c r="B9" s="17"/>
      <c r="C9" s="17">
        <v>1428</v>
      </c>
      <c r="D9" s="17" t="s">
        <v>1286</v>
      </c>
      <c r="E9" s="18" t="s">
        <v>1293</v>
      </c>
      <c r="F9" s="132">
        <v>500000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132"/>
      <c r="G10" s="25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132"/>
      <c r="G11" s="25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08"/>
      <c r="B31" s="204" t="s">
        <v>98</v>
      </c>
      <c r="C31" s="204"/>
      <c r="D31" s="108"/>
      <c r="E31" s="118"/>
      <c r="F31" s="119">
        <f>SUM(F7:F30)</f>
        <v>2460000</v>
      </c>
      <c r="G31" s="120">
        <f>SUM(G7:G30)</f>
        <v>0</v>
      </c>
      <c r="H31" s="108"/>
      <c r="I31" s="108"/>
      <c r="J31" s="121"/>
      <c r="K31" s="108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1:C31"/>
  </mergeCells>
  <hyperlinks>
    <hyperlink ref="K2" location="الاليات!A1" display="الاليات " xr:uid="{00000000-0004-0000-2D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K118"/>
  <sheetViews>
    <sheetView rightToLeft="1" view="pageBreakPreview" zoomScaleNormal="13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2.88671875" style="1" bestFit="1" customWidth="1"/>
    <col min="4" max="4" width="12.77734375" style="1" bestFit="1" customWidth="1"/>
    <col min="5" max="5" width="26" style="73" bestFit="1" customWidth="1"/>
    <col min="6" max="6" width="13.33203125" style="114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44</v>
      </c>
      <c r="B2" s="202" t="s">
        <v>15</v>
      </c>
      <c r="C2" s="203"/>
      <c r="D2" s="138"/>
      <c r="E2" s="86" t="s">
        <v>8</v>
      </c>
      <c r="F2" s="87">
        <v>2005</v>
      </c>
      <c r="G2" s="35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884</v>
      </c>
      <c r="D3" s="35"/>
      <c r="E3" s="86" t="s">
        <v>68</v>
      </c>
      <c r="F3" s="140" t="s">
        <v>70</v>
      </c>
      <c r="G3" s="35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7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7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 t="s">
        <v>262</v>
      </c>
      <c r="D7" s="130">
        <v>45263</v>
      </c>
      <c r="E7" s="18" t="s">
        <v>454</v>
      </c>
      <c r="F7" s="132">
        <v>175000</v>
      </c>
      <c r="G7" s="116"/>
      <c r="H7" s="17"/>
      <c r="I7" s="17"/>
      <c r="J7" s="117"/>
      <c r="K7" s="17"/>
    </row>
    <row r="8" spans="1:11">
      <c r="A8" s="17">
        <v>2</v>
      </c>
      <c r="B8" s="17"/>
      <c r="C8" s="99">
        <v>8806</v>
      </c>
      <c r="D8" s="136">
        <v>45791</v>
      </c>
      <c r="E8" s="99" t="s">
        <v>658</v>
      </c>
      <c r="F8" s="137">
        <v>130000</v>
      </c>
      <c r="G8" s="127"/>
      <c r="H8" s="98" t="s">
        <v>75</v>
      </c>
      <c r="I8" s="17"/>
      <c r="J8" s="117"/>
      <c r="K8" s="17"/>
    </row>
    <row r="9" spans="1:11" ht="34.799999999999997">
      <c r="A9" s="17">
        <v>3</v>
      </c>
      <c r="B9" s="17"/>
      <c r="C9" s="17">
        <v>303</v>
      </c>
      <c r="D9" s="130">
        <v>45977</v>
      </c>
      <c r="E9" s="18" t="s">
        <v>1089</v>
      </c>
      <c r="F9" s="132">
        <v>310000</v>
      </c>
      <c r="G9" s="25"/>
      <c r="H9" s="117" t="s">
        <v>75</v>
      </c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132"/>
      <c r="G10" s="116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132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116"/>
      <c r="H31" s="17"/>
      <c r="I31" s="17"/>
      <c r="J31" s="117"/>
      <c r="K31" s="17"/>
    </row>
    <row r="32" spans="1:11">
      <c r="A32" s="108"/>
      <c r="B32" s="204" t="s">
        <v>98</v>
      </c>
      <c r="C32" s="204"/>
      <c r="D32" s="108"/>
      <c r="E32" s="118"/>
      <c r="F32" s="119">
        <f>SUM(F7:F31)</f>
        <v>615000</v>
      </c>
      <c r="G32" s="120">
        <f>SUM(G7:G31)</f>
        <v>0</v>
      </c>
      <c r="H32" s="108"/>
      <c r="I32" s="108"/>
      <c r="J32" s="121"/>
      <c r="K32" s="108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2:C32"/>
  </mergeCells>
  <hyperlinks>
    <hyperlink ref="K2" location="الاليات!A1" display="الاليات " xr:uid="{00000000-0004-0000-2E00-000000000000}"/>
  </hyperlinks>
  <pageMargins left="0.7" right="0.7" top="0.75" bottom="0.75" header="0.3" footer="0.3"/>
  <pageSetup paperSize="9" scale="79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K118"/>
  <sheetViews>
    <sheetView rightToLeft="1" view="pageBreakPreview" zoomScale="150" zoomScaleNormal="130" zoomScaleSheetLayoutView="150" workbookViewId="0">
      <selection activeCell="K2" sqref="K2"/>
    </sheetView>
  </sheetViews>
  <sheetFormatPr defaultColWidth="9.109375" defaultRowHeight="17.399999999999999"/>
  <cols>
    <col min="1" max="1" width="3.5546875" style="1" bestFit="1" customWidth="1"/>
    <col min="2" max="2" width="12.6640625" style="1" bestFit="1" customWidth="1"/>
    <col min="3" max="4" width="13" style="1" bestFit="1" customWidth="1"/>
    <col min="5" max="5" width="32.109375" style="73" customWidth="1"/>
    <col min="6" max="6" width="16.44140625" style="114" bestFit="1" customWidth="1"/>
    <col min="7" max="7" width="7.88671875" style="79" bestFit="1" customWidth="1"/>
    <col min="8" max="8" width="13.44140625" style="1" bestFit="1" customWidth="1"/>
    <col min="9" max="9" width="9.554687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45</v>
      </c>
      <c r="B2" s="202" t="s">
        <v>20</v>
      </c>
      <c r="C2" s="203"/>
      <c r="D2" s="138"/>
      <c r="E2" s="86" t="s">
        <v>8</v>
      </c>
      <c r="F2" s="140">
        <v>2004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80</v>
      </c>
      <c r="D3" s="35"/>
      <c r="E3" s="86" t="s">
        <v>68</v>
      </c>
      <c r="F3" s="87" t="s">
        <v>885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4984</v>
      </c>
      <c r="D7" s="17" t="s">
        <v>302</v>
      </c>
      <c r="E7" s="18" t="s">
        <v>310</v>
      </c>
      <c r="F7" s="132"/>
      <c r="G7" s="25">
        <v>860</v>
      </c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5596</v>
      </c>
      <c r="D8" s="130">
        <v>45117</v>
      </c>
      <c r="E8" s="18" t="s">
        <v>351</v>
      </c>
      <c r="F8" s="132">
        <v>390000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5792</v>
      </c>
      <c r="D9" s="17" t="s">
        <v>373</v>
      </c>
      <c r="E9" s="18" t="s">
        <v>375</v>
      </c>
      <c r="F9" s="132">
        <v>125000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5922</v>
      </c>
      <c r="D10" s="17" t="s">
        <v>391</v>
      </c>
      <c r="E10" s="18" t="s">
        <v>114</v>
      </c>
      <c r="F10" s="132">
        <v>220000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6145</v>
      </c>
      <c r="D11" s="130" t="s">
        <v>412</v>
      </c>
      <c r="E11" s="18" t="s">
        <v>413</v>
      </c>
      <c r="F11" s="132">
        <v>100000</v>
      </c>
      <c r="G11" s="25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98">
        <v>6488</v>
      </c>
      <c r="D12" s="135">
        <v>45601</v>
      </c>
      <c r="E12" s="99" t="s">
        <v>514</v>
      </c>
      <c r="F12" s="100">
        <v>125000</v>
      </c>
      <c r="G12" s="101"/>
      <c r="H12" s="98" t="s">
        <v>75</v>
      </c>
      <c r="I12" s="17"/>
      <c r="J12" s="117"/>
      <c r="K12" s="17"/>
    </row>
    <row r="13" spans="1:11">
      <c r="A13" s="17">
        <v>7</v>
      </c>
      <c r="B13" s="17"/>
      <c r="C13" s="17">
        <v>6633</v>
      </c>
      <c r="D13" s="17" t="s">
        <v>533</v>
      </c>
      <c r="E13" s="18" t="s">
        <v>535</v>
      </c>
      <c r="F13" s="132">
        <v>120000</v>
      </c>
      <c r="G13" s="25">
        <v>1600</v>
      </c>
      <c r="H13" s="98" t="s">
        <v>75</v>
      </c>
      <c r="I13" s="17"/>
      <c r="J13" s="117"/>
      <c r="K13" s="17"/>
    </row>
    <row r="14" spans="1:11" ht="34.799999999999997">
      <c r="A14" s="17">
        <v>8</v>
      </c>
      <c r="B14" s="17"/>
      <c r="C14" s="98">
        <v>6758</v>
      </c>
      <c r="D14" s="98" t="s">
        <v>545</v>
      </c>
      <c r="E14" s="99" t="s">
        <v>548</v>
      </c>
      <c r="F14" s="100">
        <v>3000000</v>
      </c>
      <c r="G14" s="101"/>
      <c r="H14" s="98" t="s">
        <v>75</v>
      </c>
      <c r="I14" s="17"/>
      <c r="J14" s="117"/>
      <c r="K14" s="17"/>
    </row>
    <row r="15" spans="1:11">
      <c r="A15" s="17">
        <v>9</v>
      </c>
      <c r="B15" s="17"/>
      <c r="C15" s="17">
        <v>7272</v>
      </c>
      <c r="D15" s="130">
        <v>45599</v>
      </c>
      <c r="E15" s="131" t="s">
        <v>607</v>
      </c>
      <c r="F15" s="132">
        <v>985000</v>
      </c>
      <c r="G15" s="116"/>
      <c r="H15" s="17" t="s">
        <v>75</v>
      </c>
      <c r="I15" s="17"/>
      <c r="J15" s="117"/>
      <c r="K15" s="17"/>
    </row>
    <row r="16" spans="1:11" ht="34.799999999999997">
      <c r="A16" s="17">
        <v>10</v>
      </c>
      <c r="B16" s="17"/>
      <c r="C16" s="17">
        <v>7882</v>
      </c>
      <c r="D16" s="130">
        <v>45705</v>
      </c>
      <c r="E16" s="18" t="s">
        <v>718</v>
      </c>
      <c r="F16" s="24">
        <v>5755000</v>
      </c>
      <c r="G16" s="116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101</v>
      </c>
      <c r="D17" s="130" t="s">
        <v>1062</v>
      </c>
      <c r="E17" s="18" t="s">
        <v>1069</v>
      </c>
      <c r="F17" s="132">
        <v>310000</v>
      </c>
      <c r="G17" s="25"/>
      <c r="H17" s="17" t="s">
        <v>75</v>
      </c>
      <c r="I17" s="17"/>
      <c r="J17" s="117"/>
      <c r="K17" s="17"/>
    </row>
    <row r="18" spans="1:11" ht="24.75" customHeight="1">
      <c r="A18" s="17">
        <v>12</v>
      </c>
      <c r="B18" s="17"/>
      <c r="C18" s="99">
        <v>303</v>
      </c>
      <c r="D18" s="136">
        <v>45977</v>
      </c>
      <c r="E18" s="99" t="s">
        <v>1104</v>
      </c>
      <c r="F18" s="137">
        <v>1155000</v>
      </c>
      <c r="G18" s="101"/>
      <c r="H18" s="98" t="s">
        <v>75</v>
      </c>
      <c r="I18" s="17"/>
      <c r="J18" s="117"/>
      <c r="K18" s="17"/>
    </row>
    <row r="19" spans="1:11" ht="34.799999999999997">
      <c r="A19" s="17">
        <v>13</v>
      </c>
      <c r="B19" s="17"/>
      <c r="C19" s="98">
        <v>343</v>
      </c>
      <c r="D19" s="135">
        <v>45983</v>
      </c>
      <c r="E19" s="99" t="s">
        <v>1113</v>
      </c>
      <c r="F19" s="100">
        <v>425000</v>
      </c>
      <c r="G19" s="101"/>
      <c r="H19" s="98" t="s">
        <v>75</v>
      </c>
      <c r="I19" s="17"/>
      <c r="J19" s="117"/>
      <c r="K19" s="17"/>
    </row>
    <row r="20" spans="1:11" ht="34.799999999999997">
      <c r="A20" s="17">
        <v>14</v>
      </c>
      <c r="B20" s="17"/>
      <c r="C20" s="98">
        <v>615</v>
      </c>
      <c r="D20" s="135">
        <v>46018</v>
      </c>
      <c r="E20" s="99" t="s">
        <v>1139</v>
      </c>
      <c r="F20" s="100">
        <v>570000</v>
      </c>
      <c r="G20" s="101"/>
      <c r="H20" s="98" t="s">
        <v>75</v>
      </c>
      <c r="I20" s="17"/>
      <c r="J20" s="117"/>
      <c r="K20" s="17"/>
    </row>
    <row r="21" spans="1:11" ht="25.95" customHeight="1">
      <c r="A21" s="17">
        <v>15</v>
      </c>
      <c r="B21" s="17"/>
      <c r="C21" s="98">
        <v>794</v>
      </c>
      <c r="D21" s="98" t="s">
        <v>1178</v>
      </c>
      <c r="E21" s="99" t="s">
        <v>1185</v>
      </c>
      <c r="F21" s="100">
        <v>2830000</v>
      </c>
      <c r="G21" s="101">
        <v>450</v>
      </c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98">
        <v>1394</v>
      </c>
      <c r="D22" s="135">
        <v>46300</v>
      </c>
      <c r="E22" s="99" t="s">
        <v>1277</v>
      </c>
      <c r="F22" s="100">
        <v>460000</v>
      </c>
      <c r="G22" s="127"/>
      <c r="H22" s="98" t="s">
        <v>75</v>
      </c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08"/>
      <c r="B28" s="204" t="s">
        <v>98</v>
      </c>
      <c r="C28" s="204"/>
      <c r="D28" s="108"/>
      <c r="E28" s="118"/>
      <c r="F28" s="119">
        <f>SUM(F7:F27)</f>
        <v>16570000</v>
      </c>
      <c r="G28" s="120">
        <f>SUM(G7:G27)</f>
        <v>2910</v>
      </c>
      <c r="H28" s="108"/>
      <c r="I28" s="108"/>
      <c r="J28" s="121"/>
      <c r="K28" s="108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8:C28"/>
  </mergeCells>
  <hyperlinks>
    <hyperlink ref="K2" location="الاليات!A1" display="الاليات " xr:uid="{00000000-0004-0000-2F00-000000000000}"/>
  </hyperlinks>
  <pageMargins left="0.7" right="0.7" top="0.75" bottom="0.75" header="0.3" footer="0.3"/>
  <pageSetup paperSize="9" scale="7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K117"/>
  <sheetViews>
    <sheetView rightToLeft="1" view="pageBreakPreview" zoomScaleNormal="130" zoomScaleSheetLayoutView="10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5.6640625" style="1" bestFit="1" customWidth="1"/>
    <col min="4" max="4" width="12.77734375" style="1" bestFit="1" customWidth="1"/>
    <col min="5" max="5" width="18.6640625" style="73" bestFit="1" customWidth="1"/>
    <col min="6" max="6" width="15.10937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17">
        <v>46</v>
      </c>
      <c r="B2" s="209" t="s">
        <v>16</v>
      </c>
      <c r="C2" s="210"/>
      <c r="D2" s="85"/>
      <c r="E2" s="86" t="s">
        <v>8</v>
      </c>
      <c r="F2" s="17">
        <v>2001</v>
      </c>
      <c r="G2" s="89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886</v>
      </c>
      <c r="D3" s="89"/>
      <c r="E3" s="86" t="s">
        <v>68</v>
      </c>
      <c r="F3" s="35" t="s">
        <v>70</v>
      </c>
      <c r="G3" s="89"/>
      <c r="H3" s="89" t="s">
        <v>824</v>
      </c>
      <c r="I3" s="35"/>
      <c r="J3" s="81"/>
      <c r="K3" s="81"/>
    </row>
    <row r="4" spans="1:11">
      <c r="A4" s="35"/>
      <c r="B4" s="89"/>
      <c r="C4" s="35"/>
      <c r="D4" s="89"/>
      <c r="E4" s="86"/>
      <c r="F4" s="89"/>
      <c r="G4" s="81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37"/>
      <c r="G5" s="81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4984</v>
      </c>
      <c r="D7" s="17" t="s">
        <v>302</v>
      </c>
      <c r="E7" s="18" t="s">
        <v>307</v>
      </c>
      <c r="F7" s="132">
        <v>120000</v>
      </c>
      <c r="G7" s="116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9638</v>
      </c>
      <c r="D8" s="130">
        <v>45900</v>
      </c>
      <c r="E8" s="18" t="s">
        <v>1020</v>
      </c>
      <c r="F8" s="132">
        <v>75000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101</v>
      </c>
      <c r="D9" s="130" t="s">
        <v>1062</v>
      </c>
      <c r="E9" s="18" t="s">
        <v>1077</v>
      </c>
      <c r="F9" s="132">
        <v>235000</v>
      </c>
      <c r="G9" s="25"/>
      <c r="H9" s="17" t="s">
        <v>75</v>
      </c>
      <c r="I9" s="17"/>
      <c r="J9" s="117"/>
      <c r="K9" s="17"/>
    </row>
    <row r="10" spans="1:11" ht="19.2" customHeight="1">
      <c r="A10" s="17">
        <v>4</v>
      </c>
      <c r="B10" s="17"/>
      <c r="C10" s="17">
        <v>101</v>
      </c>
      <c r="D10" s="130" t="s">
        <v>1062</v>
      </c>
      <c r="E10" s="18" t="s">
        <v>1081</v>
      </c>
      <c r="F10" s="132">
        <v>3920000</v>
      </c>
      <c r="G10" s="25"/>
      <c r="H10" s="17" t="s">
        <v>75</v>
      </c>
      <c r="I10" s="17"/>
      <c r="J10" s="117"/>
      <c r="K10" s="17"/>
    </row>
    <row r="11" spans="1:11" ht="20.399999999999999" customHeight="1">
      <c r="A11" s="17">
        <v>5</v>
      </c>
      <c r="B11" s="17"/>
      <c r="C11" s="17">
        <v>1281</v>
      </c>
      <c r="D11" s="17" t="s">
        <v>1256</v>
      </c>
      <c r="E11" s="18" t="s">
        <v>591</v>
      </c>
      <c r="F11" s="132">
        <v>150000</v>
      </c>
      <c r="G11" s="116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08"/>
      <c r="D27" s="108"/>
      <c r="E27" s="118"/>
      <c r="F27" s="119">
        <f>SUM(F7:F26)</f>
        <v>4500000</v>
      </c>
      <c r="G27" s="120">
        <f>SUM(G7:G26)</f>
        <v>0</v>
      </c>
      <c r="H27" s="108"/>
      <c r="I27" s="108"/>
      <c r="J27" s="121"/>
      <c r="K27" s="17"/>
    </row>
    <row r="28" spans="1:11">
      <c r="A28" s="108"/>
      <c r="B28" s="108" t="s">
        <v>98</v>
      </c>
      <c r="J28" s="115"/>
      <c r="K28" s="108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</sheetData>
  <mergeCells count="2">
    <mergeCell ref="A1:K1"/>
    <mergeCell ref="B2:C2"/>
  </mergeCells>
  <hyperlinks>
    <hyperlink ref="K2" location="الاليات!A1" display="الاليات " xr:uid="{00000000-0004-0000-3000-000000000000}"/>
  </hyperlinks>
  <pageMargins left="0.7" right="0.7" top="0.75" bottom="0.75" header="0.3" footer="0.3"/>
  <pageSetup paperSize="9" scale="9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K118"/>
  <sheetViews>
    <sheetView rightToLeft="1" view="pageBreakPreview" zoomScaleNormal="13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4.6640625" style="1" bestFit="1" customWidth="1"/>
    <col min="4" max="4" width="12.77734375" style="1" bestFit="1" customWidth="1"/>
    <col min="5" max="5" width="16.664062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47</v>
      </c>
      <c r="B2" s="202" t="s">
        <v>18</v>
      </c>
      <c r="C2" s="203"/>
      <c r="D2" s="85"/>
      <c r="E2" s="86" t="s">
        <v>8</v>
      </c>
      <c r="F2" s="87">
        <v>2000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888</v>
      </c>
      <c r="D3" s="89"/>
      <c r="E3" s="86" t="s">
        <v>68</v>
      </c>
      <c r="F3" s="140" t="s">
        <v>70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35"/>
      <c r="D4" s="89"/>
      <c r="E4" s="86"/>
      <c r="F4" s="91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4.799999999999997">
      <c r="A7" s="17">
        <v>1</v>
      </c>
      <c r="B7" s="17" t="s">
        <v>121</v>
      </c>
      <c r="C7" s="17"/>
      <c r="D7" s="130">
        <v>45274</v>
      </c>
      <c r="E7" s="18" t="s">
        <v>252</v>
      </c>
      <c r="F7" s="132">
        <v>150000</v>
      </c>
      <c r="G7" s="25"/>
      <c r="H7" s="17" t="s">
        <v>121</v>
      </c>
      <c r="I7" s="17"/>
      <c r="J7" s="117"/>
      <c r="K7" s="17"/>
    </row>
    <row r="8" spans="1:11">
      <c r="A8" s="17">
        <v>2</v>
      </c>
      <c r="B8" s="17"/>
      <c r="C8" s="17">
        <v>6049</v>
      </c>
      <c r="D8" s="17" t="s">
        <v>370</v>
      </c>
      <c r="E8" s="18" t="s">
        <v>400</v>
      </c>
      <c r="F8" s="132">
        <v>1020000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6263</v>
      </c>
      <c r="D9" s="130">
        <v>45325</v>
      </c>
      <c r="E9" s="18" t="s">
        <v>428</v>
      </c>
      <c r="F9" s="132">
        <v>700000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6317</v>
      </c>
      <c r="D10" s="17" t="s">
        <v>430</v>
      </c>
      <c r="E10" s="18" t="s">
        <v>431</v>
      </c>
      <c r="F10" s="132">
        <v>600000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98">
        <v>6488</v>
      </c>
      <c r="D11" s="135">
        <v>45601</v>
      </c>
      <c r="E11" s="99" t="s">
        <v>513</v>
      </c>
      <c r="F11" s="100">
        <v>45000</v>
      </c>
      <c r="G11" s="101"/>
      <c r="H11" s="98" t="s">
        <v>75</v>
      </c>
      <c r="I11" s="17"/>
      <c r="J11" s="117"/>
      <c r="K11" s="17"/>
    </row>
    <row r="12" spans="1:11">
      <c r="A12" s="17">
        <v>6</v>
      </c>
      <c r="B12" s="17"/>
      <c r="C12" s="17">
        <v>6633</v>
      </c>
      <c r="D12" s="17" t="s">
        <v>533</v>
      </c>
      <c r="E12" s="18" t="s">
        <v>534</v>
      </c>
      <c r="F12" s="132">
        <v>350000</v>
      </c>
      <c r="G12" s="25"/>
      <c r="H12" s="98" t="s">
        <v>75</v>
      </c>
      <c r="I12" s="17"/>
      <c r="J12" s="117"/>
      <c r="K12" s="17"/>
    </row>
    <row r="13" spans="1:11">
      <c r="A13" s="17">
        <v>7</v>
      </c>
      <c r="B13" s="17"/>
      <c r="C13" s="17">
        <v>519</v>
      </c>
      <c r="D13" s="130">
        <v>46004</v>
      </c>
      <c r="E13" s="18" t="s">
        <v>682</v>
      </c>
      <c r="F13" s="132">
        <v>300000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08"/>
      <c r="B26" s="204" t="s">
        <v>98</v>
      </c>
      <c r="C26" s="204"/>
      <c r="D26" s="108"/>
      <c r="E26" s="118"/>
      <c r="F26" s="119">
        <f>SUM(F7:F25)</f>
        <v>3165000</v>
      </c>
      <c r="G26" s="120">
        <f>SUM(G7:G25)</f>
        <v>0</v>
      </c>
      <c r="H26" s="108"/>
      <c r="I26" s="108"/>
      <c r="J26" s="121"/>
      <c r="K26" s="108"/>
    </row>
    <row r="27" spans="1:11">
      <c r="J27" s="115"/>
    </row>
    <row r="28" spans="1:11">
      <c r="J28" s="115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6:C26"/>
  </mergeCells>
  <hyperlinks>
    <hyperlink ref="K2" location="الاليات!A1" display="الاليات " xr:uid="{00000000-0004-0000-3100-000000000000}"/>
  </hyperlinks>
  <pageMargins left="0.7" right="0.7" top="0.75" bottom="0.75" header="0.3" footer="0.3"/>
  <pageSetup paperSize="9" scale="94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K118"/>
  <sheetViews>
    <sheetView rightToLeft="1" view="pageBreakPreview" zoomScaleNormal="13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88671875" style="1" bestFit="1" customWidth="1"/>
    <col min="4" max="4" width="12.77734375" style="1" bestFit="1" customWidth="1"/>
    <col min="5" max="5" width="17.88671875" style="73" bestFit="1" customWidth="1"/>
    <col min="6" max="6" width="15.109375" style="78" bestFit="1" customWidth="1"/>
    <col min="7" max="7" width="6.21875" style="122" bestFit="1" customWidth="1"/>
    <col min="8" max="8" width="13.44140625" style="1" bestFit="1" customWidth="1"/>
    <col min="9" max="9" width="10.5546875" style="1" bestFit="1" customWidth="1"/>
    <col min="10" max="10" width="5.664062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48</v>
      </c>
      <c r="B2" s="202" t="s">
        <v>17</v>
      </c>
      <c r="C2" s="203"/>
      <c r="D2" s="85"/>
      <c r="E2" s="86" t="s">
        <v>8</v>
      </c>
      <c r="F2" s="81">
        <v>1996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9" t="s">
        <v>889</v>
      </c>
      <c r="D3" s="89"/>
      <c r="E3" s="86" t="s">
        <v>68</v>
      </c>
      <c r="F3" s="81" t="s">
        <v>70</v>
      </c>
      <c r="G3" s="89"/>
      <c r="H3" s="180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98">
        <v>6488</v>
      </c>
      <c r="D7" s="135">
        <v>45601</v>
      </c>
      <c r="E7" s="99" t="s">
        <v>520</v>
      </c>
      <c r="F7" s="100">
        <v>190000</v>
      </c>
      <c r="G7" s="101"/>
      <c r="H7" s="98" t="s">
        <v>75</v>
      </c>
      <c r="I7" s="17"/>
      <c r="J7" s="117"/>
      <c r="K7" s="17"/>
    </row>
    <row r="8" spans="1:11">
      <c r="A8" s="17">
        <v>2</v>
      </c>
      <c r="B8" s="17"/>
      <c r="C8" s="17">
        <v>6633</v>
      </c>
      <c r="D8" s="17" t="s">
        <v>533</v>
      </c>
      <c r="E8" s="18" t="s">
        <v>541</v>
      </c>
      <c r="F8" s="132">
        <v>200000</v>
      </c>
      <c r="G8" s="25"/>
      <c r="H8" s="98" t="s">
        <v>75</v>
      </c>
      <c r="I8" s="17"/>
      <c r="J8" s="117"/>
      <c r="K8" s="17"/>
    </row>
    <row r="9" spans="1:11">
      <c r="A9" s="17">
        <v>3</v>
      </c>
      <c r="B9" s="17"/>
      <c r="C9" s="17">
        <v>7272</v>
      </c>
      <c r="D9" s="130">
        <v>45599</v>
      </c>
      <c r="E9" s="131" t="s">
        <v>609</v>
      </c>
      <c r="F9" s="132">
        <v>60000</v>
      </c>
      <c r="G9" s="116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7348</v>
      </c>
      <c r="D10" s="130">
        <v>45619</v>
      </c>
      <c r="E10" s="131" t="s">
        <v>617</v>
      </c>
      <c r="F10" s="132">
        <v>30000</v>
      </c>
      <c r="G10" s="116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7580</v>
      </c>
      <c r="D11" s="130">
        <v>45649</v>
      </c>
      <c r="E11" s="18" t="s">
        <v>646</v>
      </c>
      <c r="F11" s="132">
        <v>350000</v>
      </c>
      <c r="G11" s="25"/>
      <c r="H11" s="17" t="s">
        <v>75</v>
      </c>
      <c r="I11" s="17"/>
      <c r="J11" s="117"/>
      <c r="K11" s="17"/>
    </row>
    <row r="12" spans="1:11" ht="34.799999999999997">
      <c r="A12" s="17">
        <v>6</v>
      </c>
      <c r="B12" s="17"/>
      <c r="C12" s="98">
        <v>7587</v>
      </c>
      <c r="D12" s="135">
        <v>45650</v>
      </c>
      <c r="E12" s="99" t="s">
        <v>654</v>
      </c>
      <c r="F12" s="100">
        <v>150000</v>
      </c>
      <c r="G12" s="101"/>
      <c r="H12" s="98" t="s">
        <v>75</v>
      </c>
      <c r="I12" s="17"/>
      <c r="J12" s="117"/>
      <c r="K12" s="17"/>
    </row>
    <row r="13" spans="1:11">
      <c r="A13" s="17">
        <v>7</v>
      </c>
      <c r="B13" s="17"/>
      <c r="C13" s="17">
        <v>7621</v>
      </c>
      <c r="D13" s="130">
        <v>45655</v>
      </c>
      <c r="E13" s="18" t="s">
        <v>669</v>
      </c>
      <c r="F13" s="132">
        <v>80000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98">
        <v>7717</v>
      </c>
      <c r="D14" s="135">
        <v>45676</v>
      </c>
      <c r="E14" s="99" t="s">
        <v>402</v>
      </c>
      <c r="F14" s="100">
        <v>35000</v>
      </c>
      <c r="G14" s="127"/>
      <c r="H14" s="98" t="s">
        <v>75</v>
      </c>
      <c r="I14" s="17"/>
      <c r="J14" s="117"/>
      <c r="K14" s="17"/>
    </row>
    <row r="15" spans="1:11" ht="243.6">
      <c r="A15" s="17">
        <v>9</v>
      </c>
      <c r="B15" s="17"/>
      <c r="C15" s="17">
        <v>7882</v>
      </c>
      <c r="D15" s="130">
        <v>45705</v>
      </c>
      <c r="E15" s="18" t="s">
        <v>721</v>
      </c>
      <c r="F15" s="24">
        <v>3390000</v>
      </c>
      <c r="G15" s="116"/>
      <c r="H15" s="17" t="s">
        <v>75</v>
      </c>
      <c r="I15" s="17"/>
      <c r="J15" s="117"/>
      <c r="K15" s="17"/>
    </row>
    <row r="16" spans="1:11" ht="52.2">
      <c r="A16" s="17">
        <v>10</v>
      </c>
      <c r="B16" s="17"/>
      <c r="C16" s="17">
        <v>8152</v>
      </c>
      <c r="D16" s="130">
        <v>45760</v>
      </c>
      <c r="E16" s="18" t="s">
        <v>752</v>
      </c>
      <c r="F16" s="132">
        <v>250000</v>
      </c>
      <c r="G16" s="25"/>
      <c r="H16" s="117" t="s">
        <v>75</v>
      </c>
      <c r="I16" s="17"/>
      <c r="J16" s="117"/>
      <c r="K16" s="17"/>
    </row>
    <row r="17" spans="1:11" ht="104.4">
      <c r="A17" s="17">
        <v>11</v>
      </c>
      <c r="B17" s="17"/>
      <c r="C17" s="17">
        <v>8850</v>
      </c>
      <c r="D17" s="130">
        <v>45798</v>
      </c>
      <c r="E17" s="18" t="s">
        <v>785</v>
      </c>
      <c r="F17" s="132">
        <v>702000</v>
      </c>
      <c r="G17" s="25"/>
      <c r="H17" s="98" t="s">
        <v>75</v>
      </c>
      <c r="I17" s="17"/>
      <c r="J17" s="117"/>
      <c r="K17" s="17"/>
    </row>
    <row r="18" spans="1:11" ht="34.799999999999997">
      <c r="A18" s="17">
        <v>12</v>
      </c>
      <c r="B18" s="17"/>
      <c r="C18" s="17">
        <v>9434</v>
      </c>
      <c r="D18" s="130">
        <v>45874</v>
      </c>
      <c r="E18" s="18" t="s">
        <v>996</v>
      </c>
      <c r="F18" s="132">
        <v>160000</v>
      </c>
      <c r="G18" s="25"/>
      <c r="H18" s="17" t="s">
        <v>75</v>
      </c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5597000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3200-000000000000}"/>
  </hyperlinks>
  <pageMargins left="0.7" right="0.7" top="0.75" bottom="0.75" header="0.3" footer="0.3"/>
  <pageSetup paperSize="9" scale="4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</sheetPr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8.77734375" style="1" bestFit="1" customWidth="1"/>
    <col min="3" max="3" width="12.77734375" style="1" bestFit="1" customWidth="1"/>
    <col min="4" max="4" width="4.5546875" style="1" bestFit="1" customWidth="1"/>
    <col min="5" max="5" width="8" style="73" bestFit="1" customWidth="1"/>
    <col min="6" max="6" width="8.2187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8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69.599999999999994">
      <c r="A2" s="35">
        <v>1</v>
      </c>
      <c r="B2" s="207" t="s">
        <v>182</v>
      </c>
      <c r="C2" s="208"/>
      <c r="D2" s="85"/>
      <c r="E2" s="86" t="s">
        <v>8</v>
      </c>
      <c r="F2" s="17"/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/>
      <c r="D3" s="89"/>
      <c r="E3" s="86" t="s">
        <v>68</v>
      </c>
      <c r="F3" s="89" t="s">
        <v>465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81">
        <v>1</v>
      </c>
      <c r="B7" s="143"/>
      <c r="C7" s="143"/>
      <c r="D7" s="144"/>
      <c r="E7" s="143"/>
      <c r="F7" s="145"/>
      <c r="G7" s="116"/>
      <c r="H7" s="17"/>
      <c r="I7" s="81"/>
      <c r="J7" s="23"/>
      <c r="K7" s="81"/>
    </row>
    <row r="8" spans="1:11">
      <c r="A8" s="17">
        <v>3</v>
      </c>
      <c r="B8" s="143"/>
      <c r="C8" s="143"/>
      <c r="D8" s="144"/>
      <c r="E8" s="143"/>
      <c r="F8" s="145"/>
      <c r="G8" s="116"/>
      <c r="H8" s="17"/>
      <c r="I8" s="17"/>
      <c r="J8" s="117"/>
      <c r="K8" s="17"/>
    </row>
    <row r="9" spans="1:11">
      <c r="A9" s="17">
        <v>4</v>
      </c>
      <c r="B9" s="143"/>
      <c r="C9" s="143"/>
      <c r="D9" s="144"/>
      <c r="E9" s="143"/>
      <c r="F9" s="145"/>
      <c r="G9" s="116"/>
      <c r="H9" s="17"/>
      <c r="I9" s="17"/>
      <c r="J9" s="117"/>
      <c r="K9" s="17"/>
    </row>
    <row r="10" spans="1:11">
      <c r="A10" s="17">
        <v>5</v>
      </c>
      <c r="B10" s="143"/>
      <c r="C10" s="143"/>
      <c r="D10" s="144"/>
      <c r="E10" s="143"/>
      <c r="F10" s="145"/>
      <c r="G10" s="116"/>
      <c r="H10" s="17"/>
      <c r="I10" s="17"/>
      <c r="J10" s="117"/>
      <c r="K10" s="17"/>
    </row>
    <row r="11" spans="1:11">
      <c r="A11" s="17">
        <v>6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7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6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0</v>
      </c>
      <c r="G36" s="120">
        <f>SUM(G7:G35)</f>
        <v>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33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4" style="1" bestFit="1" customWidth="1"/>
    <col min="4" max="4" width="11.5546875" style="1" bestFit="1" customWidth="1"/>
    <col min="5" max="5" width="13.1093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50</v>
      </c>
      <c r="B2" s="202" t="s">
        <v>30</v>
      </c>
      <c r="C2" s="203"/>
      <c r="D2" s="85"/>
      <c r="E2" s="86" t="s">
        <v>8</v>
      </c>
      <c r="F2" s="91">
        <v>2014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85</v>
      </c>
      <c r="D3" s="89"/>
      <c r="E3" s="86" t="s">
        <v>68</v>
      </c>
      <c r="F3" s="87" t="s">
        <v>71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4984</v>
      </c>
      <c r="D7" s="17" t="s">
        <v>302</v>
      </c>
      <c r="E7" s="18" t="s">
        <v>259</v>
      </c>
      <c r="F7" s="132"/>
      <c r="G7" s="25">
        <v>335</v>
      </c>
      <c r="H7" s="17" t="s">
        <v>75</v>
      </c>
      <c r="I7" s="17"/>
      <c r="J7" s="117"/>
      <c r="K7" s="17"/>
    </row>
    <row r="8" spans="1:11" ht="34.799999999999997">
      <c r="A8" s="17">
        <v>2</v>
      </c>
      <c r="B8" s="17"/>
      <c r="C8" s="99">
        <v>8806</v>
      </c>
      <c r="D8" s="136">
        <v>45791</v>
      </c>
      <c r="E8" s="99" t="s">
        <v>777</v>
      </c>
      <c r="F8" s="137">
        <v>1747000</v>
      </c>
      <c r="G8" s="127"/>
      <c r="H8" s="98" t="s">
        <v>75</v>
      </c>
      <c r="I8" s="17"/>
      <c r="J8" s="117"/>
      <c r="K8" s="17"/>
    </row>
    <row r="9" spans="1:11">
      <c r="A9" s="17">
        <v>3</v>
      </c>
      <c r="B9" s="17"/>
      <c r="C9" s="98">
        <v>9738</v>
      </c>
      <c r="D9" s="135">
        <v>45913</v>
      </c>
      <c r="E9" s="99" t="s">
        <v>618</v>
      </c>
      <c r="F9" s="100">
        <v>260000</v>
      </c>
      <c r="G9" s="101"/>
      <c r="H9" s="98" t="s">
        <v>75</v>
      </c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132"/>
      <c r="G10" s="25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132"/>
      <c r="G11" s="25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08"/>
      <c r="B29" s="204" t="s">
        <v>98</v>
      </c>
      <c r="C29" s="204"/>
      <c r="D29" s="108"/>
      <c r="E29" s="118"/>
      <c r="F29" s="119">
        <f>SUM(F7:F28)</f>
        <v>2007000</v>
      </c>
      <c r="G29" s="120">
        <f>SUM(G7:G28)</f>
        <v>335</v>
      </c>
      <c r="H29" s="108"/>
      <c r="I29" s="108"/>
      <c r="J29" s="121"/>
      <c r="K29" s="108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9:C29"/>
  </mergeCells>
  <hyperlinks>
    <hyperlink ref="K2" location="الاليات!A1" display="الاليات " xr:uid="{00000000-0004-0000-3400-000000000000}"/>
  </hyperlinks>
  <pageMargins left="0.7" right="0.7" top="0.75" bottom="0.75" header="0.3" footer="0.3"/>
  <pageSetup paperSize="9" scale="85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4" style="1" bestFit="1" customWidth="1"/>
    <col min="4" max="4" width="11.5546875" style="1" bestFit="1" customWidth="1"/>
    <col min="5" max="5" width="11.109375" style="73" bestFit="1" customWidth="1"/>
    <col min="6" max="6" width="13.33203125" style="114" bestFit="1" customWidth="1"/>
    <col min="7" max="7" width="6.21875" style="79" bestFit="1" customWidth="1"/>
    <col min="8" max="8" width="13.44140625" style="1" bestFit="1" customWidth="1"/>
    <col min="9" max="9" width="10.21875" style="1" bestFit="1" customWidth="1"/>
    <col min="10" max="10" width="7.218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51</v>
      </c>
      <c r="B2" s="202" t="s">
        <v>29</v>
      </c>
      <c r="C2" s="203"/>
      <c r="D2" s="85"/>
      <c r="E2" s="86" t="s">
        <v>8</v>
      </c>
      <c r="F2" s="140">
        <v>2010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84</v>
      </c>
      <c r="D3" s="89"/>
      <c r="E3" s="86" t="s">
        <v>68</v>
      </c>
      <c r="F3" s="87" t="s">
        <v>73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8" t="s">
        <v>325</v>
      </c>
      <c r="D7" s="133">
        <v>45023</v>
      </c>
      <c r="E7" s="18" t="s">
        <v>324</v>
      </c>
      <c r="F7" s="134">
        <v>60000</v>
      </c>
      <c r="G7" s="25"/>
      <c r="H7" s="17"/>
      <c r="I7" s="17"/>
      <c r="J7" s="117"/>
      <c r="K7" s="17"/>
    </row>
    <row r="8" spans="1:11">
      <c r="A8" s="17">
        <v>2</v>
      </c>
      <c r="B8" s="17"/>
      <c r="C8" s="17">
        <v>5365</v>
      </c>
      <c r="D8" s="130">
        <v>45268</v>
      </c>
      <c r="E8" s="18" t="s">
        <v>334</v>
      </c>
      <c r="F8" s="132">
        <v>150000</v>
      </c>
      <c r="G8" s="25"/>
      <c r="H8" s="17"/>
      <c r="I8" s="17"/>
      <c r="J8" s="117"/>
      <c r="K8" s="17"/>
    </row>
    <row r="9" spans="1:11">
      <c r="A9" s="17">
        <v>3</v>
      </c>
      <c r="B9" s="17"/>
      <c r="C9" s="17">
        <v>6049</v>
      </c>
      <c r="D9" s="17" t="s">
        <v>401</v>
      </c>
      <c r="E9" s="18" t="s">
        <v>402</v>
      </c>
      <c r="F9" s="132">
        <v>40000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132"/>
      <c r="G10" s="25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132"/>
      <c r="G11" s="25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08"/>
      <c r="B32" s="204" t="s">
        <v>98</v>
      </c>
      <c r="C32" s="204"/>
      <c r="D32" s="108"/>
      <c r="E32" s="118"/>
      <c r="F32" s="119">
        <f>SUM(F7:F31)</f>
        <v>250000</v>
      </c>
      <c r="G32" s="120">
        <f>SUM(G7:G31)</f>
        <v>0</v>
      </c>
      <c r="H32" s="108"/>
      <c r="I32" s="108"/>
      <c r="J32" s="121"/>
      <c r="K32" s="108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2:C32"/>
  </mergeCells>
  <hyperlinks>
    <hyperlink ref="K2" location="الاليات!A1" display="الاليات " xr:uid="{00000000-0004-0000-3500-000000000000}"/>
  </hyperlinks>
  <pageMargins left="0.7" right="0.7" top="0.75" bottom="0.75" header="0.3" footer="0.3"/>
  <pageSetup paperSize="9" scale="81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118"/>
  <sheetViews>
    <sheetView rightToLeft="1" topLeftCell="A8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8.6640625" style="1" bestFit="1" customWidth="1"/>
    <col min="3" max="4" width="12.77734375" style="1" bestFit="1" customWidth="1"/>
    <col min="5" max="5" width="17.6640625" style="73" bestFit="1" customWidth="1"/>
    <col min="6" max="6" width="13.3320312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4.664062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52</v>
      </c>
      <c r="B2" s="202" t="s">
        <v>892</v>
      </c>
      <c r="C2" s="203"/>
      <c r="D2" s="85"/>
      <c r="E2" s="86" t="s">
        <v>8</v>
      </c>
      <c r="F2" s="17">
        <v>2007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891</v>
      </c>
      <c r="D3" s="89"/>
      <c r="E3" s="86" t="s">
        <v>68</v>
      </c>
      <c r="F3" s="89" t="s">
        <v>465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29.25" customHeight="1">
      <c r="A7" s="17">
        <v>1</v>
      </c>
      <c r="B7" s="143"/>
      <c r="C7" s="98">
        <v>6861</v>
      </c>
      <c r="D7" s="135">
        <v>45451</v>
      </c>
      <c r="E7" s="99" t="s">
        <v>557</v>
      </c>
      <c r="F7" s="100">
        <v>30000</v>
      </c>
      <c r="G7" s="101"/>
      <c r="H7" s="98" t="s">
        <v>75</v>
      </c>
      <c r="I7" s="81"/>
      <c r="J7" s="23"/>
      <c r="K7" s="81"/>
    </row>
    <row r="8" spans="1:11" ht="52.2">
      <c r="A8" s="17">
        <v>2</v>
      </c>
      <c r="B8" s="143"/>
      <c r="C8" s="17">
        <v>7580</v>
      </c>
      <c r="D8" s="130">
        <v>45649</v>
      </c>
      <c r="E8" s="18" t="s">
        <v>645</v>
      </c>
      <c r="F8" s="132">
        <v>140000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43"/>
      <c r="C9" s="17">
        <v>7882</v>
      </c>
      <c r="D9" s="130">
        <v>45705</v>
      </c>
      <c r="E9" s="18" t="s">
        <v>716</v>
      </c>
      <c r="F9" s="24">
        <v>158000</v>
      </c>
      <c r="G9" s="116"/>
      <c r="H9" s="17" t="s">
        <v>75</v>
      </c>
      <c r="I9" s="17"/>
      <c r="J9" s="117"/>
      <c r="K9" s="17"/>
    </row>
    <row r="10" spans="1:11">
      <c r="A10" s="17">
        <v>4</v>
      </c>
      <c r="B10" s="143"/>
      <c r="C10" s="143"/>
      <c r="D10" s="144"/>
      <c r="E10" s="143"/>
      <c r="F10" s="145"/>
      <c r="G10" s="116"/>
      <c r="H10" s="17"/>
      <c r="I10" s="17"/>
      <c r="J10" s="117"/>
      <c r="K10" s="17"/>
    </row>
    <row r="11" spans="1:11">
      <c r="A11" s="17">
        <v>5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328000</v>
      </c>
      <c r="G36" s="120">
        <f>SUM(G7:G35)</f>
        <v>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3600-000000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K118"/>
  <sheetViews>
    <sheetView rightToLeft="1" view="pageBreakPreview" zoomScaleNormal="100" zoomScaleSheetLayoutView="10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6.21875" style="1" bestFit="1" customWidth="1"/>
    <col min="4" max="4" width="12.77734375" style="1" bestFit="1" customWidth="1"/>
    <col min="5" max="5" width="21.44140625" style="73" bestFit="1" customWidth="1"/>
    <col min="6" max="6" width="16.33203125" style="114" bestFit="1" customWidth="1"/>
    <col min="7" max="7" width="7.6640625" style="79" bestFit="1" customWidth="1"/>
    <col min="8" max="8" width="15" style="1" bestFit="1" customWidth="1"/>
    <col min="9" max="9" width="11.8867187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53</v>
      </c>
      <c r="B2" s="202" t="s">
        <v>25</v>
      </c>
      <c r="C2" s="203"/>
      <c r="D2" s="138"/>
      <c r="E2" s="86" t="s">
        <v>8</v>
      </c>
      <c r="F2" s="87">
        <v>2006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893</v>
      </c>
      <c r="D3" s="35"/>
      <c r="E3" s="86" t="s">
        <v>68</v>
      </c>
      <c r="F3" s="87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4984</v>
      </c>
      <c r="D7" s="17" t="s">
        <v>302</v>
      </c>
      <c r="E7" s="18" t="s">
        <v>304</v>
      </c>
      <c r="F7" s="132">
        <v>250000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4984</v>
      </c>
      <c r="D8" s="17" t="s">
        <v>302</v>
      </c>
      <c r="E8" s="18" t="s">
        <v>176</v>
      </c>
      <c r="F8" s="132">
        <v>750000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5122</v>
      </c>
      <c r="D9" s="17" t="s">
        <v>313</v>
      </c>
      <c r="E9" s="18" t="s">
        <v>314</v>
      </c>
      <c r="F9" s="132"/>
      <c r="G9" s="25">
        <v>70</v>
      </c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5122</v>
      </c>
      <c r="D10" s="17" t="s">
        <v>313</v>
      </c>
      <c r="E10" s="18" t="s">
        <v>177</v>
      </c>
      <c r="F10" s="132">
        <v>315000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 t="s">
        <v>395</v>
      </c>
      <c r="D11" s="17" t="s">
        <v>396</v>
      </c>
      <c r="E11" s="18" t="s">
        <v>135</v>
      </c>
      <c r="F11" s="132">
        <v>440000</v>
      </c>
      <c r="G11" s="25"/>
      <c r="H11" s="17"/>
      <c r="I11" s="17"/>
      <c r="J11" s="117"/>
      <c r="K11" s="17"/>
    </row>
    <row r="12" spans="1:11">
      <c r="A12" s="17">
        <v>6</v>
      </c>
      <c r="B12" s="17"/>
      <c r="C12" s="17">
        <v>6003</v>
      </c>
      <c r="D12" s="130">
        <v>45352</v>
      </c>
      <c r="E12" s="18" t="s">
        <v>398</v>
      </c>
      <c r="F12" s="132">
        <v>734000</v>
      </c>
      <c r="G12" s="25"/>
      <c r="H12" s="17" t="s">
        <v>278</v>
      </c>
      <c r="I12" s="17"/>
      <c r="J12" s="117"/>
      <c r="K12" s="17"/>
    </row>
    <row r="13" spans="1:11" ht="15.75" customHeight="1">
      <c r="A13" s="17">
        <v>7</v>
      </c>
      <c r="B13" s="17"/>
      <c r="C13" s="17">
        <v>6049</v>
      </c>
      <c r="D13" s="17" t="s">
        <v>401</v>
      </c>
      <c r="E13" s="18" t="s">
        <v>444</v>
      </c>
      <c r="F13" s="132">
        <v>1150000</v>
      </c>
      <c r="G13" s="25">
        <v>1995</v>
      </c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>
        <v>6049</v>
      </c>
      <c r="D14" s="17" t="s">
        <v>401</v>
      </c>
      <c r="E14" s="18" t="s">
        <v>331</v>
      </c>
      <c r="F14" s="132">
        <v>295000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7" t="s">
        <v>403</v>
      </c>
      <c r="D15" s="17" t="s">
        <v>404</v>
      </c>
      <c r="E15" s="18" t="s">
        <v>406</v>
      </c>
      <c r="F15" s="132">
        <v>125000</v>
      </c>
      <c r="G15" s="25"/>
      <c r="H15" s="17"/>
      <c r="I15" s="17"/>
      <c r="J15" s="117"/>
      <c r="K15" s="17"/>
    </row>
    <row r="16" spans="1:11">
      <c r="A16" s="17">
        <v>10</v>
      </c>
      <c r="B16" s="17"/>
      <c r="C16" s="17">
        <v>6145</v>
      </c>
      <c r="D16" s="17" t="s">
        <v>412</v>
      </c>
      <c r="E16" s="18" t="s">
        <v>324</v>
      </c>
      <c r="F16" s="132">
        <v>225000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 t="s">
        <v>414</v>
      </c>
      <c r="D17" s="130">
        <v>45293</v>
      </c>
      <c r="E17" s="18" t="s">
        <v>463</v>
      </c>
      <c r="F17" s="132">
        <v>275000</v>
      </c>
      <c r="G17" s="25"/>
      <c r="H17" s="17" t="s">
        <v>166</v>
      </c>
      <c r="I17" s="17"/>
      <c r="J17" s="117"/>
      <c r="K17" s="17"/>
    </row>
    <row r="18" spans="1:11">
      <c r="A18" s="17">
        <v>12</v>
      </c>
      <c r="B18" s="17"/>
      <c r="C18" s="98">
        <v>7717</v>
      </c>
      <c r="D18" s="135">
        <v>45676</v>
      </c>
      <c r="E18" s="99" t="s">
        <v>274</v>
      </c>
      <c r="F18" s="100">
        <v>300000</v>
      </c>
      <c r="G18" s="127"/>
      <c r="H18" s="98" t="s">
        <v>75</v>
      </c>
      <c r="I18" s="17"/>
      <c r="J18" s="117"/>
      <c r="K18" s="17"/>
    </row>
    <row r="19" spans="1:11" ht="15" customHeight="1">
      <c r="A19" s="17">
        <v>13</v>
      </c>
      <c r="B19" s="17"/>
      <c r="C19" s="17">
        <v>8152</v>
      </c>
      <c r="D19" s="130">
        <v>45760</v>
      </c>
      <c r="E19" s="18" t="s">
        <v>753</v>
      </c>
      <c r="F19" s="132">
        <v>60000</v>
      </c>
      <c r="G19" s="25"/>
      <c r="H19" s="117" t="s">
        <v>75</v>
      </c>
      <c r="I19" s="17"/>
      <c r="J19" s="117"/>
      <c r="K19" s="17"/>
    </row>
    <row r="20" spans="1:11">
      <c r="A20" s="17">
        <v>14</v>
      </c>
      <c r="B20" s="17"/>
      <c r="C20" s="17">
        <v>8713</v>
      </c>
      <c r="D20" s="130">
        <v>45777</v>
      </c>
      <c r="E20" s="18" t="s">
        <v>669</v>
      </c>
      <c r="F20" s="132">
        <v>30000</v>
      </c>
      <c r="G20" s="25"/>
      <c r="H20" s="117" t="s">
        <v>75</v>
      </c>
      <c r="I20" s="17"/>
      <c r="J20" s="117"/>
      <c r="K20" s="17"/>
    </row>
    <row r="21" spans="1:11" ht="52.2">
      <c r="A21" s="17">
        <v>15</v>
      </c>
      <c r="B21" s="17"/>
      <c r="C21" s="17">
        <v>9087</v>
      </c>
      <c r="D21" s="130">
        <v>45836</v>
      </c>
      <c r="E21" s="18" t="s">
        <v>804</v>
      </c>
      <c r="F21" s="132">
        <v>280000</v>
      </c>
      <c r="G21" s="25"/>
      <c r="H21" s="17" t="s">
        <v>75</v>
      </c>
      <c r="I21" s="17"/>
      <c r="J21" s="117"/>
      <c r="K21" s="17"/>
    </row>
    <row r="22" spans="1:11">
      <c r="A22" s="17">
        <v>16</v>
      </c>
      <c r="B22" s="17"/>
      <c r="C22" s="18">
        <v>9203</v>
      </c>
      <c r="D22" s="133">
        <v>45848</v>
      </c>
      <c r="E22" s="99" t="s">
        <v>814</v>
      </c>
      <c r="F22" s="100">
        <v>100000</v>
      </c>
      <c r="G22" s="127"/>
      <c r="H22" s="98" t="s">
        <v>75</v>
      </c>
      <c r="I22" s="17"/>
      <c r="J22" s="117"/>
      <c r="K22" s="17"/>
    </row>
    <row r="23" spans="1:11">
      <c r="A23" s="17">
        <v>17</v>
      </c>
      <c r="B23" s="17"/>
      <c r="C23" s="17">
        <v>9434</v>
      </c>
      <c r="D23" s="130">
        <v>45874</v>
      </c>
      <c r="E23" s="18" t="s">
        <v>994</v>
      </c>
      <c r="F23" s="132">
        <v>45000</v>
      </c>
      <c r="G23" s="25"/>
      <c r="H23" s="17" t="s">
        <v>75</v>
      </c>
      <c r="I23" s="17"/>
      <c r="J23" s="117"/>
      <c r="K23" s="17"/>
    </row>
    <row r="24" spans="1:11">
      <c r="A24" s="17">
        <v>18</v>
      </c>
      <c r="B24" s="17"/>
      <c r="C24" s="98">
        <v>9539</v>
      </c>
      <c r="D24" s="135">
        <v>45890</v>
      </c>
      <c r="E24" s="99" t="s">
        <v>1005</v>
      </c>
      <c r="F24" s="100">
        <v>50000</v>
      </c>
      <c r="G24" s="101"/>
      <c r="H24" s="98" t="s">
        <v>75</v>
      </c>
      <c r="I24" s="17"/>
      <c r="J24" s="117"/>
      <c r="K24" s="17"/>
    </row>
    <row r="25" spans="1:11" ht="34.799999999999997">
      <c r="A25" s="17">
        <v>19</v>
      </c>
      <c r="B25" s="17"/>
      <c r="C25" s="98">
        <v>9738</v>
      </c>
      <c r="D25" s="135">
        <v>45913</v>
      </c>
      <c r="E25" s="99" t="s">
        <v>1039</v>
      </c>
      <c r="F25" s="100">
        <v>135000</v>
      </c>
      <c r="G25" s="101"/>
      <c r="H25" s="98" t="s">
        <v>75</v>
      </c>
      <c r="I25" s="17"/>
      <c r="J25" s="117"/>
      <c r="K25" s="17"/>
    </row>
    <row r="26" spans="1:11">
      <c r="A26" s="17">
        <v>20</v>
      </c>
      <c r="B26" s="17"/>
      <c r="C26" s="17">
        <v>101</v>
      </c>
      <c r="D26" s="130" t="s">
        <v>1062</v>
      </c>
      <c r="E26" s="18" t="s">
        <v>1075</v>
      </c>
      <c r="F26" s="132">
        <v>250000</v>
      </c>
      <c r="G26" s="25"/>
      <c r="H26" s="17" t="s">
        <v>75</v>
      </c>
      <c r="I26" s="17"/>
      <c r="J26" s="117"/>
      <c r="K26" s="17"/>
    </row>
    <row r="27" spans="1:11">
      <c r="A27" s="17">
        <v>21</v>
      </c>
      <c r="B27" s="17"/>
      <c r="C27" s="17">
        <v>343</v>
      </c>
      <c r="D27" s="130">
        <v>45983</v>
      </c>
      <c r="E27" s="18" t="s">
        <v>1116</v>
      </c>
      <c r="F27" s="132"/>
      <c r="G27" s="25">
        <v>4000</v>
      </c>
      <c r="H27" s="17" t="s">
        <v>75</v>
      </c>
      <c r="I27" s="17"/>
      <c r="J27" s="117"/>
      <c r="K27" s="17"/>
    </row>
    <row r="28" spans="1:11">
      <c r="A28" s="17">
        <v>22</v>
      </c>
      <c r="B28" s="17"/>
      <c r="C28" s="17">
        <v>883</v>
      </c>
      <c r="D28" s="17" t="s">
        <v>1191</v>
      </c>
      <c r="E28" s="18" t="s">
        <v>658</v>
      </c>
      <c r="F28" s="132">
        <v>447000</v>
      </c>
      <c r="G28" s="116"/>
      <c r="H28" s="17" t="s">
        <v>75</v>
      </c>
      <c r="I28" s="17"/>
      <c r="J28" s="117"/>
      <c r="K28" s="17"/>
    </row>
    <row r="29" spans="1:11" ht="69.599999999999994">
      <c r="A29" s="17">
        <v>23</v>
      </c>
      <c r="B29" s="17"/>
      <c r="C29" s="98">
        <v>1394</v>
      </c>
      <c r="D29" s="135">
        <v>46300</v>
      </c>
      <c r="E29" s="99" t="s">
        <v>1280</v>
      </c>
      <c r="F29" s="100">
        <v>11070000</v>
      </c>
      <c r="G29" s="127"/>
      <c r="H29" s="98" t="s">
        <v>75</v>
      </c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7">
        <v>41</v>
      </c>
      <c r="B47" s="17"/>
      <c r="C47" s="17"/>
      <c r="D47" s="17"/>
      <c r="E47" s="18"/>
      <c r="F47" s="132"/>
      <c r="G47" s="25"/>
      <c r="H47" s="17"/>
      <c r="I47" s="17"/>
      <c r="J47" s="117"/>
      <c r="K47" s="17"/>
    </row>
    <row r="48" spans="1:11">
      <c r="A48" s="17">
        <v>42</v>
      </c>
      <c r="B48" s="17"/>
      <c r="C48" s="17"/>
      <c r="D48" s="17"/>
      <c r="E48" s="18"/>
      <c r="F48" s="132"/>
      <c r="G48" s="25"/>
      <c r="H48" s="17"/>
      <c r="I48" s="17"/>
      <c r="J48" s="117"/>
      <c r="K48" s="17"/>
    </row>
    <row r="49" spans="1:11">
      <c r="A49" s="17">
        <v>43</v>
      </c>
      <c r="B49" s="17"/>
      <c r="C49" s="17"/>
      <c r="D49" s="17"/>
      <c r="E49" s="18"/>
      <c r="F49" s="132"/>
      <c r="G49" s="25"/>
      <c r="H49" s="17"/>
      <c r="I49" s="17"/>
      <c r="J49" s="117"/>
      <c r="K49" s="17"/>
    </row>
    <row r="50" spans="1:11">
      <c r="A50" s="17">
        <v>44</v>
      </c>
      <c r="B50" s="17"/>
      <c r="C50" s="17"/>
      <c r="D50" s="17"/>
      <c r="E50" s="18"/>
      <c r="F50" s="132"/>
      <c r="G50" s="25"/>
      <c r="H50" s="17"/>
      <c r="I50" s="17"/>
      <c r="J50" s="117"/>
      <c r="K50" s="17"/>
    </row>
    <row r="51" spans="1:11">
      <c r="A51" s="17">
        <v>45</v>
      </c>
      <c r="B51" s="17"/>
      <c r="C51" s="17"/>
      <c r="D51" s="17"/>
      <c r="E51" s="18"/>
      <c r="F51" s="132"/>
      <c r="G51" s="25"/>
      <c r="H51" s="17"/>
      <c r="I51" s="17"/>
      <c r="J51" s="117"/>
      <c r="K51" s="17"/>
    </row>
    <row r="52" spans="1:11">
      <c r="A52" s="17">
        <v>46</v>
      </c>
      <c r="B52" s="17"/>
      <c r="C52" s="17"/>
      <c r="D52" s="17"/>
      <c r="E52" s="18"/>
      <c r="F52" s="132"/>
      <c r="G52" s="25"/>
      <c r="H52" s="17"/>
      <c r="I52" s="17"/>
      <c r="J52" s="117"/>
      <c r="K52" s="17"/>
    </row>
    <row r="53" spans="1:11">
      <c r="A53" s="17">
        <v>47</v>
      </c>
      <c r="B53" s="17"/>
      <c r="C53" s="17"/>
      <c r="D53" s="17"/>
      <c r="E53" s="18"/>
      <c r="F53" s="132"/>
      <c r="G53" s="25"/>
      <c r="H53" s="17"/>
      <c r="I53" s="17"/>
      <c r="J53" s="117"/>
      <c r="K53" s="17"/>
    </row>
    <row r="54" spans="1:11">
      <c r="A54" s="17">
        <v>48</v>
      </c>
      <c r="B54" s="17"/>
      <c r="C54" s="17"/>
      <c r="D54" s="17"/>
      <c r="E54" s="18"/>
      <c r="F54" s="132"/>
      <c r="G54" s="25"/>
      <c r="H54" s="17"/>
      <c r="I54" s="17"/>
      <c r="J54" s="117"/>
      <c r="K54" s="17"/>
    </row>
    <row r="55" spans="1:11">
      <c r="A55" s="17">
        <v>49</v>
      </c>
      <c r="B55" s="17"/>
      <c r="C55" s="17"/>
      <c r="D55" s="17"/>
      <c r="E55" s="18"/>
      <c r="F55" s="132"/>
      <c r="G55" s="25"/>
      <c r="H55" s="17"/>
      <c r="I55" s="17"/>
      <c r="J55" s="117"/>
      <c r="K55" s="17"/>
    </row>
    <row r="56" spans="1:11">
      <c r="A56" s="17">
        <v>50</v>
      </c>
      <c r="B56" s="17"/>
      <c r="C56" s="17"/>
      <c r="D56" s="17"/>
      <c r="E56" s="18"/>
      <c r="F56" s="132"/>
      <c r="G56" s="25"/>
      <c r="H56" s="17"/>
      <c r="I56" s="17"/>
      <c r="J56" s="117"/>
      <c r="K56" s="17"/>
    </row>
    <row r="57" spans="1:11">
      <c r="A57" s="17">
        <v>51</v>
      </c>
      <c r="B57" s="17"/>
      <c r="C57" s="17"/>
      <c r="D57" s="17"/>
      <c r="E57" s="18"/>
      <c r="F57" s="132"/>
      <c r="G57" s="25"/>
      <c r="H57" s="17"/>
      <c r="I57" s="17"/>
      <c r="J57" s="117"/>
      <c r="K57" s="17"/>
    </row>
    <row r="58" spans="1:11">
      <c r="A58" s="17">
        <v>52</v>
      </c>
      <c r="B58" s="17"/>
      <c r="C58" s="17"/>
      <c r="D58" s="17"/>
      <c r="E58" s="18"/>
      <c r="F58" s="132"/>
      <c r="G58" s="25"/>
      <c r="H58" s="17"/>
      <c r="I58" s="17"/>
      <c r="J58" s="117"/>
      <c r="K58" s="17"/>
    </row>
    <row r="59" spans="1:11">
      <c r="A59" s="17">
        <v>53</v>
      </c>
      <c r="B59" s="17"/>
      <c r="C59" s="17"/>
      <c r="D59" s="17"/>
      <c r="E59" s="18"/>
      <c r="F59" s="132"/>
      <c r="G59" s="25"/>
      <c r="H59" s="17"/>
      <c r="I59" s="17"/>
      <c r="J59" s="117"/>
      <c r="K59" s="17"/>
    </row>
    <row r="60" spans="1:11">
      <c r="A60" s="108"/>
      <c r="B60" s="204" t="s">
        <v>98</v>
      </c>
      <c r="C60" s="204"/>
      <c r="D60" s="108"/>
      <c r="E60" s="118"/>
      <c r="F60" s="119">
        <f>SUM(F7:F59)</f>
        <v>17326000</v>
      </c>
      <c r="G60" s="120">
        <f>SUM(G7:G59)</f>
        <v>6065</v>
      </c>
      <c r="H60" s="108"/>
      <c r="I60" s="108"/>
      <c r="J60" s="121"/>
      <c r="K60" s="108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60:C60"/>
  </mergeCells>
  <hyperlinks>
    <hyperlink ref="K2" location="الاليات!A1" display="الاليات " xr:uid="{00000000-0004-0000-3700-000000000000}"/>
  </hyperlinks>
  <pageMargins left="0.7" right="0.7" top="0.75" bottom="0.75" header="0.3" footer="0.3"/>
  <pageSetup paperSize="9" scale="4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4" width="12.77734375" style="1" bestFit="1" customWidth="1"/>
    <col min="5" max="5" width="18.21875" style="73" bestFit="1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54</v>
      </c>
      <c r="B2" s="202" t="s">
        <v>26</v>
      </c>
      <c r="C2" s="203"/>
      <c r="D2" s="138"/>
      <c r="E2" s="86" t="s">
        <v>8</v>
      </c>
      <c r="F2" s="140">
        <v>2007</v>
      </c>
      <c r="G2" s="35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890</v>
      </c>
      <c r="D3" s="35"/>
      <c r="E3" s="86" t="s">
        <v>68</v>
      </c>
      <c r="F3" s="87" t="s">
        <v>826</v>
      </c>
      <c r="G3" s="35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7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7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52.2">
      <c r="A7" s="17">
        <v>1</v>
      </c>
      <c r="B7" s="17"/>
      <c r="C7" s="17">
        <v>4742</v>
      </c>
      <c r="D7" s="130">
        <v>45203</v>
      </c>
      <c r="E7" s="18" t="s">
        <v>455</v>
      </c>
      <c r="F7" s="132">
        <v>119000</v>
      </c>
      <c r="G7" s="116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4880</v>
      </c>
      <c r="D8" s="130">
        <v>45082</v>
      </c>
      <c r="E8" s="18" t="s">
        <v>145</v>
      </c>
      <c r="F8" s="132">
        <v>80000</v>
      </c>
      <c r="G8" s="116"/>
      <c r="H8" s="17" t="s">
        <v>75</v>
      </c>
      <c r="I8" s="17"/>
      <c r="J8" s="117"/>
      <c r="K8" s="17"/>
    </row>
    <row r="9" spans="1:11" ht="52.2">
      <c r="A9" s="17">
        <v>3</v>
      </c>
      <c r="B9" s="17"/>
      <c r="C9" s="17">
        <v>6317</v>
      </c>
      <c r="D9" s="17" t="s">
        <v>430</v>
      </c>
      <c r="E9" s="18" t="s">
        <v>456</v>
      </c>
      <c r="F9" s="132">
        <v>303000</v>
      </c>
      <c r="G9" s="116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7348</v>
      </c>
      <c r="D10" s="130">
        <v>45619</v>
      </c>
      <c r="E10" s="131" t="s">
        <v>145</v>
      </c>
      <c r="F10" s="132">
        <v>65000</v>
      </c>
      <c r="G10" s="116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98">
        <v>7717</v>
      </c>
      <c r="D11" s="135">
        <v>45676</v>
      </c>
      <c r="E11" s="99" t="s">
        <v>259</v>
      </c>
      <c r="F11" s="100">
        <v>270000</v>
      </c>
      <c r="G11" s="127"/>
      <c r="H11" s="98" t="s">
        <v>75</v>
      </c>
      <c r="I11" s="17"/>
      <c r="J11" s="117"/>
      <c r="K11" s="17"/>
    </row>
    <row r="12" spans="1:11" ht="52.2">
      <c r="A12" s="17">
        <v>6</v>
      </c>
      <c r="B12" s="17"/>
      <c r="C12" s="17">
        <v>7882</v>
      </c>
      <c r="D12" s="130">
        <v>45705</v>
      </c>
      <c r="E12" s="18" t="s">
        <v>712</v>
      </c>
      <c r="F12" s="24">
        <v>680000</v>
      </c>
      <c r="G12" s="116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>
        <v>7992</v>
      </c>
      <c r="D13" s="130">
        <v>45722</v>
      </c>
      <c r="E13" s="18" t="s">
        <v>304</v>
      </c>
      <c r="F13" s="24">
        <v>150000</v>
      </c>
      <c r="G13" s="116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>
        <v>8713</v>
      </c>
      <c r="D14" s="130">
        <v>45777</v>
      </c>
      <c r="E14" s="18" t="s">
        <v>145</v>
      </c>
      <c r="F14" s="132">
        <v>95000</v>
      </c>
      <c r="G14" s="25"/>
      <c r="H14" s="117" t="s">
        <v>75</v>
      </c>
      <c r="I14" s="17"/>
      <c r="J14" s="117"/>
      <c r="K14" s="17"/>
    </row>
    <row r="15" spans="1:11" ht="34.799999999999997">
      <c r="A15" s="17">
        <v>9</v>
      </c>
      <c r="B15" s="17"/>
      <c r="C15" s="99">
        <v>8806</v>
      </c>
      <c r="D15" s="136">
        <v>45791</v>
      </c>
      <c r="E15" s="99" t="s">
        <v>774</v>
      </c>
      <c r="F15" s="137">
        <v>264000</v>
      </c>
      <c r="G15" s="127"/>
      <c r="H15" s="98" t="s">
        <v>75</v>
      </c>
      <c r="I15" s="17"/>
      <c r="J15" s="117"/>
      <c r="K15" s="17"/>
    </row>
    <row r="16" spans="1:11">
      <c r="A16" s="17">
        <v>10</v>
      </c>
      <c r="B16" s="17"/>
      <c r="C16" s="99">
        <v>8806</v>
      </c>
      <c r="D16" s="136">
        <v>45791</v>
      </c>
      <c r="E16" s="99" t="s">
        <v>591</v>
      </c>
      <c r="F16" s="137">
        <v>250000</v>
      </c>
      <c r="G16" s="127"/>
      <c r="H16" s="98" t="s">
        <v>75</v>
      </c>
      <c r="I16" s="17"/>
      <c r="J16" s="117"/>
      <c r="K16" s="17"/>
    </row>
    <row r="17" spans="1:11">
      <c r="A17" s="17">
        <v>11</v>
      </c>
      <c r="B17" s="17"/>
      <c r="C17" s="17">
        <v>9087</v>
      </c>
      <c r="D17" s="130">
        <v>45836</v>
      </c>
      <c r="E17" s="18" t="s">
        <v>799</v>
      </c>
      <c r="F17" s="24">
        <v>260000</v>
      </c>
      <c r="G17" s="116"/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17">
        <v>9638</v>
      </c>
      <c r="D18" s="130">
        <v>45900</v>
      </c>
      <c r="E18" s="18" t="s">
        <v>682</v>
      </c>
      <c r="F18" s="132">
        <v>225000</v>
      </c>
      <c r="G18" s="116"/>
      <c r="H18" s="17" t="s">
        <v>75</v>
      </c>
      <c r="I18" s="17"/>
      <c r="J18" s="117"/>
      <c r="K18" s="17"/>
    </row>
    <row r="19" spans="1:11">
      <c r="A19" s="17">
        <v>13</v>
      </c>
      <c r="B19" s="17"/>
      <c r="C19" s="98">
        <v>9738</v>
      </c>
      <c r="D19" s="135">
        <v>45913</v>
      </c>
      <c r="E19" s="99" t="s">
        <v>304</v>
      </c>
      <c r="F19" s="100">
        <v>90000</v>
      </c>
      <c r="G19" s="101"/>
      <c r="H19" s="98" t="s">
        <v>75</v>
      </c>
      <c r="I19" s="17"/>
      <c r="J19" s="117"/>
      <c r="K19" s="17"/>
    </row>
    <row r="20" spans="1:11">
      <c r="A20" s="17">
        <v>14</v>
      </c>
      <c r="B20" s="17"/>
      <c r="C20" s="17">
        <v>101</v>
      </c>
      <c r="D20" s="130" t="s">
        <v>1062</v>
      </c>
      <c r="E20" s="18" t="s">
        <v>1074</v>
      </c>
      <c r="F20" s="132">
        <v>250000</v>
      </c>
      <c r="G20" s="25"/>
      <c r="H20" s="17" t="s">
        <v>75</v>
      </c>
      <c r="I20" s="17"/>
      <c r="J20" s="117"/>
      <c r="K20" s="17"/>
    </row>
    <row r="21" spans="1:11">
      <c r="A21" s="17">
        <v>15</v>
      </c>
      <c r="B21" s="17"/>
      <c r="C21" s="98">
        <v>559</v>
      </c>
      <c r="D21" s="135">
        <v>46011</v>
      </c>
      <c r="E21" s="99" t="s">
        <v>1127</v>
      </c>
      <c r="F21" s="100">
        <v>75000</v>
      </c>
      <c r="G21" s="101"/>
      <c r="H21" s="98" t="s">
        <v>75</v>
      </c>
      <c r="I21" s="17"/>
      <c r="J21" s="117"/>
      <c r="K21" s="17"/>
    </row>
    <row r="22" spans="1:11" ht="34.799999999999997">
      <c r="A22" s="17">
        <v>16</v>
      </c>
      <c r="B22" s="17"/>
      <c r="C22" s="98">
        <v>615</v>
      </c>
      <c r="D22" s="135">
        <v>46018</v>
      </c>
      <c r="E22" s="99" t="s">
        <v>1137</v>
      </c>
      <c r="F22" s="100">
        <v>165000</v>
      </c>
      <c r="G22" s="101"/>
      <c r="H22" s="98" t="s">
        <v>75</v>
      </c>
      <c r="I22" s="17"/>
      <c r="J22" s="117"/>
      <c r="K22" s="17"/>
    </row>
    <row r="23" spans="1:11" ht="34.799999999999997">
      <c r="A23" s="17">
        <v>17</v>
      </c>
      <c r="B23" s="17"/>
      <c r="C23" s="98">
        <v>668</v>
      </c>
      <c r="D23" s="135">
        <v>46082</v>
      </c>
      <c r="E23" s="99" t="s">
        <v>1156</v>
      </c>
      <c r="F23" s="100">
        <v>194000</v>
      </c>
      <c r="G23" s="101"/>
      <c r="H23" s="98" t="s">
        <v>75</v>
      </c>
      <c r="I23" s="17"/>
      <c r="J23" s="117"/>
      <c r="K23" s="17"/>
    </row>
    <row r="24" spans="1:11">
      <c r="A24" s="17">
        <v>18</v>
      </c>
      <c r="B24" s="17"/>
      <c r="C24" s="17">
        <v>1158</v>
      </c>
      <c r="D24" s="17" t="s">
        <v>1241</v>
      </c>
      <c r="E24" s="18" t="s">
        <v>1074</v>
      </c>
      <c r="F24" s="132">
        <v>270000</v>
      </c>
      <c r="G24" s="116"/>
      <c r="H24" s="17" t="s">
        <v>75</v>
      </c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116"/>
      <c r="H33" s="17"/>
      <c r="I33" s="17"/>
      <c r="J33" s="117"/>
      <c r="K33" s="17"/>
    </row>
    <row r="34" spans="1:11">
      <c r="A34" s="108"/>
      <c r="B34" s="204" t="s">
        <v>98</v>
      </c>
      <c r="C34" s="204"/>
      <c r="D34" s="108"/>
      <c r="E34" s="118"/>
      <c r="F34" s="119">
        <f>SUM(F6:F33)</f>
        <v>3805000</v>
      </c>
      <c r="G34" s="120">
        <f>SUM(G6:G33)</f>
        <v>0</v>
      </c>
      <c r="H34" s="108"/>
      <c r="I34" s="108"/>
      <c r="J34" s="121"/>
      <c r="K34" s="108"/>
    </row>
    <row r="35" spans="1:11">
      <c r="J35" s="115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4:C34"/>
  </mergeCells>
  <hyperlinks>
    <hyperlink ref="K2" location="الاليات!A1" display="الاليات " xr:uid="{00000000-0004-0000-3800-000000000000}"/>
  </hyperlinks>
  <pageMargins left="0.7" right="0.7" top="0.75" bottom="0.75" header="0.3" footer="0.3"/>
  <pageSetup paperSize="9" scale="61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K118"/>
  <sheetViews>
    <sheetView rightToLeft="1" view="pageBreakPreview" zoomScale="150" zoomScaleNormal="100" zoomScaleSheetLayoutView="150" workbookViewId="0">
      <selection activeCell="K2" sqref="K2"/>
    </sheetView>
  </sheetViews>
  <sheetFormatPr defaultColWidth="9.109375" defaultRowHeight="17.399999999999999"/>
  <cols>
    <col min="1" max="1" width="3.5546875" style="1" bestFit="1" customWidth="1"/>
    <col min="2" max="2" width="12.6640625" style="1" bestFit="1" customWidth="1"/>
    <col min="3" max="4" width="13" style="1" bestFit="1" customWidth="1"/>
    <col min="5" max="5" width="32.44140625" style="73" customWidth="1"/>
    <col min="6" max="6" width="16.44140625" style="114" bestFit="1" customWidth="1"/>
    <col min="7" max="7" width="7.88671875" style="79" bestFit="1" customWidth="1"/>
    <col min="8" max="8" width="15" style="1" bestFit="1" customWidth="1"/>
    <col min="9" max="9" width="10.21875" style="1" bestFit="1" customWidth="1"/>
    <col min="10" max="10" width="5.664062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55</v>
      </c>
      <c r="B2" s="202" t="s">
        <v>27</v>
      </c>
      <c r="C2" s="203"/>
      <c r="D2" s="138"/>
      <c r="E2" s="86" t="s">
        <v>8</v>
      </c>
      <c r="F2" s="87">
        <v>2004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894</v>
      </c>
      <c r="D3" s="35"/>
      <c r="E3" s="86" t="s">
        <v>68</v>
      </c>
      <c r="F3" s="87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4.799999999999997">
      <c r="A7" s="17">
        <v>1</v>
      </c>
      <c r="B7" s="17" t="s">
        <v>136</v>
      </c>
      <c r="C7" s="17"/>
      <c r="D7" s="130">
        <v>44951</v>
      </c>
      <c r="E7" s="18" t="s">
        <v>204</v>
      </c>
      <c r="F7" s="132">
        <v>350000</v>
      </c>
      <c r="G7" s="25"/>
      <c r="H7" s="17" t="s">
        <v>123</v>
      </c>
      <c r="I7" s="17"/>
      <c r="J7" s="117"/>
      <c r="K7" s="17"/>
    </row>
    <row r="8" spans="1:11">
      <c r="A8" s="17">
        <v>2</v>
      </c>
      <c r="B8" s="17"/>
      <c r="C8" s="17">
        <v>4702</v>
      </c>
      <c r="D8" s="17" t="s">
        <v>277</v>
      </c>
      <c r="E8" s="18" t="s">
        <v>190</v>
      </c>
      <c r="F8" s="132">
        <v>515000</v>
      </c>
      <c r="G8" s="25"/>
      <c r="H8" s="17" t="s">
        <v>278</v>
      </c>
      <c r="I8" s="17"/>
      <c r="J8" s="117"/>
      <c r="K8" s="17"/>
    </row>
    <row r="9" spans="1:11">
      <c r="A9" s="17">
        <v>3</v>
      </c>
      <c r="B9" s="17"/>
      <c r="C9" s="17">
        <v>5166</v>
      </c>
      <c r="D9" s="130">
        <v>44992</v>
      </c>
      <c r="E9" s="18" t="s">
        <v>459</v>
      </c>
      <c r="F9" s="132"/>
      <c r="G9" s="25">
        <v>1650</v>
      </c>
      <c r="H9" s="17" t="s">
        <v>75</v>
      </c>
      <c r="I9" s="17"/>
      <c r="J9" s="117"/>
      <c r="K9" s="17"/>
    </row>
    <row r="10" spans="1:11" ht="52.2">
      <c r="A10" s="17">
        <v>4</v>
      </c>
      <c r="B10" s="17"/>
      <c r="C10" s="17">
        <v>5666</v>
      </c>
      <c r="D10" s="17" t="s">
        <v>151</v>
      </c>
      <c r="E10" s="18" t="s">
        <v>461</v>
      </c>
      <c r="F10" s="132">
        <v>216000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5922</v>
      </c>
      <c r="D11" s="17" t="s">
        <v>391</v>
      </c>
      <c r="E11" s="18" t="s">
        <v>437</v>
      </c>
      <c r="F11" s="132">
        <v>550000</v>
      </c>
      <c r="G11" s="25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 t="s">
        <v>403</v>
      </c>
      <c r="D12" s="17" t="s">
        <v>404</v>
      </c>
      <c r="E12" s="18" t="s">
        <v>405</v>
      </c>
      <c r="F12" s="132">
        <v>250000</v>
      </c>
      <c r="G12" s="25"/>
      <c r="H12" s="17"/>
      <c r="I12" s="17"/>
      <c r="J12" s="117"/>
      <c r="K12" s="17"/>
    </row>
    <row r="13" spans="1:11">
      <c r="A13" s="17">
        <v>7</v>
      </c>
      <c r="B13" s="17"/>
      <c r="C13" s="17">
        <v>6145</v>
      </c>
      <c r="D13" s="17" t="s">
        <v>412</v>
      </c>
      <c r="E13" s="18" t="s">
        <v>324</v>
      </c>
      <c r="F13" s="132">
        <v>225000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 t="s">
        <v>414</v>
      </c>
      <c r="D14" s="130">
        <v>45293</v>
      </c>
      <c r="E14" s="18" t="s">
        <v>462</v>
      </c>
      <c r="F14" s="132">
        <v>300000</v>
      </c>
      <c r="G14" s="25"/>
      <c r="H14" s="17" t="s">
        <v>166</v>
      </c>
      <c r="I14" s="17"/>
      <c r="J14" s="117"/>
      <c r="K14" s="17"/>
    </row>
    <row r="15" spans="1:11">
      <c r="A15" s="17">
        <v>9</v>
      </c>
      <c r="B15" s="17"/>
      <c r="C15" s="17">
        <v>6633</v>
      </c>
      <c r="D15" s="17" t="s">
        <v>533</v>
      </c>
      <c r="E15" s="18" t="s">
        <v>539</v>
      </c>
      <c r="F15" s="132">
        <v>162000</v>
      </c>
      <c r="G15" s="25"/>
      <c r="H15" s="98" t="s">
        <v>75</v>
      </c>
      <c r="I15" s="17"/>
      <c r="J15" s="117"/>
      <c r="K15" s="17"/>
    </row>
    <row r="16" spans="1:11">
      <c r="A16" s="17">
        <v>10</v>
      </c>
      <c r="B16" s="17"/>
      <c r="C16" s="17">
        <v>7348</v>
      </c>
      <c r="D16" s="130">
        <v>45619</v>
      </c>
      <c r="E16" s="131" t="s">
        <v>627</v>
      </c>
      <c r="F16" s="132">
        <v>260000</v>
      </c>
      <c r="G16" s="116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7580</v>
      </c>
      <c r="D17" s="130">
        <v>45649</v>
      </c>
      <c r="E17" s="18" t="s">
        <v>259</v>
      </c>
      <c r="F17" s="132"/>
      <c r="G17" s="25">
        <v>2950</v>
      </c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98">
        <v>7658</v>
      </c>
      <c r="D18" s="135">
        <v>45662</v>
      </c>
      <c r="E18" s="99" t="s">
        <v>673</v>
      </c>
      <c r="F18" s="100">
        <v>515000</v>
      </c>
      <c r="G18" s="127"/>
      <c r="H18" s="98" t="s">
        <v>75</v>
      </c>
      <c r="I18" s="17"/>
      <c r="J18" s="117"/>
      <c r="K18" s="17"/>
    </row>
    <row r="19" spans="1:11">
      <c r="A19" s="17">
        <v>13</v>
      </c>
      <c r="B19" s="17"/>
      <c r="C19" s="98">
        <v>7717</v>
      </c>
      <c r="D19" s="135">
        <v>45676</v>
      </c>
      <c r="E19" s="99" t="s">
        <v>322</v>
      </c>
      <c r="F19" s="100">
        <v>20000</v>
      </c>
      <c r="G19" s="127"/>
      <c r="H19" s="98" t="s">
        <v>75</v>
      </c>
      <c r="I19" s="17"/>
      <c r="J19" s="117"/>
      <c r="K19" s="17"/>
    </row>
    <row r="20" spans="1:11">
      <c r="A20" s="17">
        <v>14</v>
      </c>
      <c r="B20" s="17"/>
      <c r="C20" s="17">
        <v>7992</v>
      </c>
      <c r="D20" s="130">
        <v>45722</v>
      </c>
      <c r="E20" s="18" t="s">
        <v>727</v>
      </c>
      <c r="F20" s="24">
        <v>600000</v>
      </c>
      <c r="G20" s="116"/>
      <c r="H20" s="17" t="s">
        <v>75</v>
      </c>
      <c r="I20" s="17"/>
      <c r="J20" s="117"/>
      <c r="K20" s="17"/>
    </row>
    <row r="21" spans="1:11">
      <c r="A21" s="17">
        <v>15</v>
      </c>
      <c r="B21" s="17"/>
      <c r="C21" s="17">
        <v>9920</v>
      </c>
      <c r="D21" s="130">
        <v>45931</v>
      </c>
      <c r="E21" s="18" t="s">
        <v>669</v>
      </c>
      <c r="F21" s="132">
        <v>80000</v>
      </c>
      <c r="G21" s="25"/>
      <c r="H21" s="17" t="s">
        <v>75</v>
      </c>
      <c r="I21" s="17"/>
      <c r="J21" s="117"/>
      <c r="K21" s="17"/>
    </row>
    <row r="22" spans="1:11">
      <c r="A22" s="17">
        <v>16</v>
      </c>
      <c r="B22" s="17"/>
      <c r="C22" s="17">
        <v>101</v>
      </c>
      <c r="D22" s="130" t="s">
        <v>1062</v>
      </c>
      <c r="E22" s="18" t="s">
        <v>1070</v>
      </c>
      <c r="F22" s="132">
        <v>120000</v>
      </c>
      <c r="G22" s="25"/>
      <c r="H22" s="17" t="s">
        <v>75</v>
      </c>
      <c r="I22" s="17"/>
      <c r="J22" s="117"/>
      <c r="K22" s="17"/>
    </row>
    <row r="23" spans="1:11">
      <c r="A23" s="17">
        <v>17</v>
      </c>
      <c r="B23" s="17"/>
      <c r="C23" s="17">
        <v>303</v>
      </c>
      <c r="D23" s="130">
        <v>45977</v>
      </c>
      <c r="E23" s="18" t="s">
        <v>1099</v>
      </c>
      <c r="F23" s="132">
        <v>115000</v>
      </c>
      <c r="G23" s="25"/>
      <c r="H23" s="17" t="s">
        <v>75</v>
      </c>
      <c r="I23" s="17"/>
      <c r="J23" s="117"/>
      <c r="K23" s="17"/>
    </row>
    <row r="24" spans="1:11" ht="34.799999999999997">
      <c r="A24" s="17">
        <v>18</v>
      </c>
      <c r="B24" s="17"/>
      <c r="C24" s="17">
        <v>559</v>
      </c>
      <c r="D24" s="130">
        <v>46011</v>
      </c>
      <c r="E24" s="18" t="s">
        <v>1134</v>
      </c>
      <c r="F24" s="132">
        <v>1235000</v>
      </c>
      <c r="G24" s="25"/>
      <c r="H24" s="17" t="s">
        <v>75</v>
      </c>
      <c r="I24" s="17"/>
      <c r="J24" s="117"/>
      <c r="K24" s="17"/>
    </row>
    <row r="25" spans="1:11" ht="36" customHeight="1">
      <c r="A25" s="17">
        <v>19</v>
      </c>
      <c r="B25" s="17"/>
      <c r="C25" s="98">
        <v>615</v>
      </c>
      <c r="D25" s="135">
        <v>46018</v>
      </c>
      <c r="E25" s="99" t="s">
        <v>1138</v>
      </c>
      <c r="F25" s="100">
        <v>4880000</v>
      </c>
      <c r="G25" s="101"/>
      <c r="H25" s="98" t="s">
        <v>75</v>
      </c>
      <c r="I25" s="17"/>
      <c r="J25" s="117"/>
      <c r="K25" s="17"/>
    </row>
    <row r="26" spans="1:11" ht="69.599999999999994">
      <c r="A26" s="17">
        <v>20</v>
      </c>
      <c r="B26" s="17"/>
      <c r="C26" s="98">
        <v>794</v>
      </c>
      <c r="D26" s="98" t="s">
        <v>1178</v>
      </c>
      <c r="E26" s="99" t="s">
        <v>1190</v>
      </c>
      <c r="F26" s="100">
        <v>1768000</v>
      </c>
      <c r="G26" s="101"/>
      <c r="H26" s="98" t="s">
        <v>75</v>
      </c>
      <c r="I26" s="17"/>
      <c r="J26" s="117"/>
      <c r="K26" s="17"/>
    </row>
    <row r="27" spans="1:11">
      <c r="A27" s="17">
        <v>21</v>
      </c>
      <c r="B27" s="17"/>
      <c r="C27" s="98">
        <v>1394</v>
      </c>
      <c r="D27" s="135">
        <v>46300</v>
      </c>
      <c r="E27" s="99" t="s">
        <v>1282</v>
      </c>
      <c r="F27" s="100">
        <v>435000</v>
      </c>
      <c r="G27" s="127"/>
      <c r="H27" s="98" t="s">
        <v>75</v>
      </c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7">
        <v>41</v>
      </c>
      <c r="B47" s="17"/>
      <c r="C47" s="17"/>
      <c r="D47" s="17"/>
      <c r="E47" s="18"/>
      <c r="F47" s="132"/>
      <c r="G47" s="25"/>
      <c r="H47" s="17"/>
      <c r="I47" s="17"/>
      <c r="J47" s="117"/>
      <c r="K47" s="17"/>
    </row>
    <row r="48" spans="1:11">
      <c r="A48" s="17">
        <v>42</v>
      </c>
      <c r="B48" s="17"/>
      <c r="C48" s="17"/>
      <c r="D48" s="17"/>
      <c r="E48" s="18"/>
      <c r="F48" s="132"/>
      <c r="G48" s="25"/>
      <c r="H48" s="17"/>
      <c r="I48" s="17"/>
      <c r="J48" s="117"/>
      <c r="K48" s="17"/>
    </row>
    <row r="49" spans="1:11">
      <c r="A49" s="17">
        <v>43</v>
      </c>
      <c r="B49" s="17"/>
      <c r="C49" s="17"/>
      <c r="D49" s="17"/>
      <c r="E49" s="18"/>
      <c r="F49" s="132"/>
      <c r="G49" s="25"/>
      <c r="H49" s="17"/>
      <c r="I49" s="17"/>
      <c r="J49" s="117"/>
      <c r="K49" s="17"/>
    </row>
    <row r="50" spans="1:11">
      <c r="A50" s="17">
        <v>44</v>
      </c>
      <c r="B50" s="17"/>
      <c r="C50" s="17"/>
      <c r="D50" s="17"/>
      <c r="E50" s="18"/>
      <c r="F50" s="132"/>
      <c r="G50" s="25"/>
      <c r="H50" s="17"/>
      <c r="I50" s="17"/>
      <c r="J50" s="117"/>
      <c r="K50" s="17"/>
    </row>
    <row r="51" spans="1:11">
      <c r="A51" s="17">
        <v>45</v>
      </c>
      <c r="B51" s="17"/>
      <c r="C51" s="17"/>
      <c r="D51" s="17"/>
      <c r="E51" s="18"/>
      <c r="F51" s="132"/>
      <c r="G51" s="25"/>
      <c r="H51" s="17"/>
      <c r="I51" s="17"/>
      <c r="J51" s="117"/>
      <c r="K51" s="17"/>
    </row>
    <row r="52" spans="1:11">
      <c r="A52" s="108"/>
      <c r="B52" s="204" t="s">
        <v>98</v>
      </c>
      <c r="C52" s="204"/>
      <c r="D52" s="108"/>
      <c r="E52" s="118"/>
      <c r="F52" s="119">
        <f>SUM(F7:F51)</f>
        <v>12596000</v>
      </c>
      <c r="G52" s="120">
        <f>SUM(G7:G51)</f>
        <v>4600</v>
      </c>
      <c r="H52" s="108"/>
      <c r="I52" s="108"/>
      <c r="J52" s="121"/>
      <c r="K52" s="108"/>
    </row>
    <row r="53" spans="1:11">
      <c r="J53" s="115"/>
    </row>
    <row r="54" spans="1:11">
      <c r="J54" s="115"/>
    </row>
    <row r="55" spans="1:11">
      <c r="J55" s="115"/>
    </row>
    <row r="56" spans="1:11">
      <c r="J56" s="115"/>
    </row>
    <row r="57" spans="1:11">
      <c r="J57" s="115"/>
    </row>
    <row r="58" spans="1:11">
      <c r="J58" s="115"/>
    </row>
    <row r="59" spans="1:11">
      <c r="J59" s="115"/>
    </row>
    <row r="60" spans="1:11">
      <c r="J60" s="115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52:C52"/>
  </mergeCells>
  <hyperlinks>
    <hyperlink ref="K2" location="الاليات!A1" display="الاليات " xr:uid="{00000000-0004-0000-3900-000000000000}"/>
  </hyperlinks>
  <pageMargins left="0.7" right="0.7" top="0.75" bottom="0.75" header="0.3" footer="0.3"/>
  <pageSetup paperSize="9" scale="44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98"/>
  <sheetViews>
    <sheetView rightToLeft="1" workbookViewId="0">
      <selection activeCell="B8" sqref="B8"/>
    </sheetView>
  </sheetViews>
  <sheetFormatPr defaultRowHeight="17.399999999999999"/>
  <cols>
    <col min="1" max="1" width="4.6640625" style="149" bestFit="1" customWidth="1"/>
    <col min="2" max="2" width="7.33203125" style="149" bestFit="1" customWidth="1"/>
    <col min="3" max="4" width="11.5546875" style="149" bestFit="1" customWidth="1"/>
    <col min="5" max="5" width="20.88671875" style="149" bestFit="1" customWidth="1"/>
    <col min="6" max="6" width="17" style="149" bestFit="1" customWidth="1"/>
    <col min="7" max="7" width="6.109375" style="149" bestFit="1" customWidth="1"/>
    <col min="8" max="8" width="13.44140625" style="149" bestFit="1" customWidth="1"/>
    <col min="9" max="9" width="13.88671875" style="149" bestFit="1" customWidth="1"/>
    <col min="10" max="10" width="4.33203125" style="149" bestFit="1" customWidth="1"/>
    <col min="11" max="11" width="16.88671875" style="149" bestFit="1" customWidth="1"/>
    <col min="12" max="16384" width="8.88671875" style="149"/>
  </cols>
  <sheetData>
    <row r="1" spans="1:11">
      <c r="A1" s="200" t="s">
        <v>10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34.799999999999997">
      <c r="A2" s="35">
        <v>1</v>
      </c>
      <c r="B2" s="202" t="s">
        <v>63</v>
      </c>
      <c r="C2" s="203"/>
      <c r="D2" s="138"/>
      <c r="E2" s="86" t="s">
        <v>8</v>
      </c>
      <c r="F2" s="87">
        <v>2001</v>
      </c>
      <c r="G2" s="35"/>
      <c r="H2" s="89" t="s">
        <v>100</v>
      </c>
      <c r="I2" s="35" t="s">
        <v>1026</v>
      </c>
      <c r="J2" s="17"/>
      <c r="K2" s="90" t="s">
        <v>102</v>
      </c>
    </row>
    <row r="3" spans="1:11">
      <c r="A3" s="35"/>
      <c r="B3" s="89" t="s">
        <v>99</v>
      </c>
      <c r="C3" s="123">
        <v>50915</v>
      </c>
      <c r="D3" s="35"/>
      <c r="E3" s="86" t="s">
        <v>68</v>
      </c>
      <c r="F3" s="140" t="s">
        <v>1032</v>
      </c>
      <c r="G3" s="35"/>
      <c r="H3" s="89" t="s">
        <v>824</v>
      </c>
      <c r="I3" s="35"/>
      <c r="J3" s="17"/>
      <c r="K3" s="17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178">
        <v>45900</v>
      </c>
      <c r="D5" s="1"/>
      <c r="E5" s="86" t="s">
        <v>95</v>
      </c>
      <c r="F5" s="142"/>
      <c r="G5" s="81"/>
      <c r="H5" s="81" t="s">
        <v>96</v>
      </c>
      <c r="I5" s="117"/>
      <c r="J5" s="81"/>
      <c r="K5" s="17"/>
    </row>
    <row r="6" spans="1:11" ht="69.599999999999994">
      <c r="A6" s="94" t="s">
        <v>9</v>
      </c>
      <c r="B6" s="94" t="s">
        <v>846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816</v>
      </c>
      <c r="K6" s="97"/>
    </row>
    <row r="7" spans="1:11" ht="34.799999999999997">
      <c r="A7" s="98">
        <v>1</v>
      </c>
      <c r="B7" s="98"/>
      <c r="C7" s="98">
        <v>9638</v>
      </c>
      <c r="D7" s="135">
        <v>45900</v>
      </c>
      <c r="E7" s="99" t="s">
        <v>1027</v>
      </c>
      <c r="F7" s="100">
        <v>210000</v>
      </c>
      <c r="G7" s="127"/>
      <c r="H7" s="98" t="s">
        <v>75</v>
      </c>
      <c r="I7" s="98"/>
      <c r="J7" s="142"/>
      <c r="K7" s="17"/>
    </row>
    <row r="8" spans="1:11">
      <c r="A8" s="98">
        <v>2</v>
      </c>
      <c r="B8" s="98"/>
      <c r="C8" s="98"/>
      <c r="D8" s="98"/>
      <c r="E8" s="99"/>
      <c r="F8" s="100"/>
      <c r="G8" s="127"/>
      <c r="H8" s="98"/>
      <c r="I8" s="98"/>
      <c r="J8" s="142"/>
      <c r="K8" s="17"/>
    </row>
    <row r="9" spans="1:11">
      <c r="A9" s="98">
        <v>3</v>
      </c>
      <c r="B9" s="98"/>
      <c r="C9" s="98"/>
      <c r="D9" s="135"/>
      <c r="E9" s="99"/>
      <c r="F9" s="100"/>
      <c r="G9" s="127"/>
      <c r="H9" s="98"/>
      <c r="I9" s="98"/>
      <c r="J9" s="142"/>
      <c r="K9" s="17"/>
    </row>
    <row r="10" spans="1:11">
      <c r="A10" s="98">
        <v>4</v>
      </c>
      <c r="B10" s="98"/>
      <c r="C10" s="98"/>
      <c r="D10" s="135"/>
      <c r="E10" s="99"/>
      <c r="F10" s="100"/>
      <c r="G10" s="127"/>
      <c r="H10" s="98"/>
      <c r="I10" s="98"/>
      <c r="J10" s="142"/>
      <c r="K10" s="17"/>
    </row>
    <row r="11" spans="1:11">
      <c r="A11" s="98">
        <v>5</v>
      </c>
      <c r="B11" s="98"/>
      <c r="C11" s="98"/>
      <c r="D11" s="135"/>
      <c r="E11" s="99"/>
      <c r="F11" s="100"/>
      <c r="G11" s="127"/>
      <c r="H11" s="98"/>
      <c r="I11" s="98"/>
      <c r="J11" s="142"/>
      <c r="K11" s="17"/>
    </row>
    <row r="12" spans="1:11">
      <c r="A12" s="98">
        <v>6</v>
      </c>
      <c r="B12" s="98"/>
      <c r="C12" s="98"/>
      <c r="D12" s="135"/>
      <c r="E12" s="99"/>
      <c r="F12" s="100"/>
      <c r="G12" s="127"/>
      <c r="H12" s="98"/>
      <c r="I12" s="98"/>
      <c r="J12" s="142"/>
      <c r="K12" s="17"/>
    </row>
    <row r="13" spans="1:11">
      <c r="A13" s="98">
        <v>7</v>
      </c>
      <c r="B13" s="98"/>
      <c r="C13" s="98"/>
      <c r="D13" s="98"/>
      <c r="E13" s="99"/>
      <c r="F13" s="100"/>
      <c r="G13" s="127"/>
      <c r="H13" s="98"/>
      <c r="I13" s="98"/>
      <c r="J13" s="142"/>
      <c r="K13" s="17"/>
    </row>
    <row r="14" spans="1:11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42"/>
      <c r="K14" s="17"/>
    </row>
    <row r="15" spans="1:11">
      <c r="A15" s="98">
        <v>30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>
      <c r="A16" s="98">
        <v>31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>
      <c r="A17" s="98">
        <v>32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>
      <c r="A18" s="98">
        <v>33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34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35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36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37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38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39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40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41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42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43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44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45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46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47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48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49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50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51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98">
        <v>52</v>
      </c>
      <c r="B37" s="98"/>
      <c r="C37" s="98"/>
      <c r="D37" s="98"/>
      <c r="E37" s="99"/>
      <c r="F37" s="100"/>
      <c r="G37" s="127"/>
      <c r="H37" s="98"/>
      <c r="I37" s="98"/>
      <c r="J37" s="102"/>
      <c r="K37" s="17"/>
    </row>
    <row r="38" spans="1:11">
      <c r="A38" s="98">
        <v>53</v>
      </c>
      <c r="B38" s="98"/>
      <c r="C38" s="98"/>
      <c r="D38" s="98"/>
      <c r="E38" s="99"/>
      <c r="F38" s="100"/>
      <c r="G38" s="127"/>
      <c r="H38" s="98"/>
      <c r="I38" s="98"/>
      <c r="J38" s="102"/>
      <c r="K38" s="17"/>
    </row>
    <row r="39" spans="1:11">
      <c r="A39" s="98">
        <v>54</v>
      </c>
      <c r="B39" s="98"/>
      <c r="C39" s="98"/>
      <c r="D39" s="98"/>
      <c r="E39" s="99"/>
      <c r="F39" s="100"/>
      <c r="G39" s="127"/>
      <c r="H39" s="98"/>
      <c r="I39" s="98"/>
      <c r="J39" s="102"/>
      <c r="K39" s="17"/>
    </row>
    <row r="40" spans="1:11">
      <c r="A40" s="98">
        <v>55</v>
      </c>
      <c r="B40" s="98"/>
      <c r="C40" s="98"/>
      <c r="D40" s="98"/>
      <c r="E40" s="99"/>
      <c r="F40" s="100"/>
      <c r="G40" s="127"/>
      <c r="H40" s="98"/>
      <c r="I40" s="98"/>
      <c r="J40" s="102"/>
      <c r="K40" s="17"/>
    </row>
    <row r="41" spans="1:11">
      <c r="A41" s="98">
        <v>56</v>
      </c>
      <c r="B41" s="98"/>
      <c r="C41" s="98"/>
      <c r="D41" s="98"/>
      <c r="E41" s="99"/>
      <c r="F41" s="100"/>
      <c r="G41" s="127"/>
      <c r="H41" s="98"/>
      <c r="I41" s="98"/>
      <c r="J41" s="102"/>
      <c r="K41" s="17"/>
    </row>
    <row r="42" spans="1:11">
      <c r="A42" s="98">
        <v>57</v>
      </c>
      <c r="B42" s="98"/>
      <c r="C42" s="98"/>
      <c r="D42" s="98"/>
      <c r="E42" s="99"/>
      <c r="F42" s="100"/>
      <c r="G42" s="127"/>
      <c r="H42" s="98"/>
      <c r="I42" s="98"/>
      <c r="J42" s="102"/>
      <c r="K42" s="17"/>
    </row>
    <row r="43" spans="1:11">
      <c r="A43" s="98">
        <v>58</v>
      </c>
      <c r="B43" s="17"/>
      <c r="C43" s="17"/>
      <c r="D43" s="17"/>
      <c r="E43" s="18"/>
      <c r="F43" s="132"/>
      <c r="G43" s="116"/>
      <c r="H43" s="17"/>
      <c r="I43" s="17"/>
      <c r="J43" s="117"/>
      <c r="K43" s="17"/>
    </row>
    <row r="44" spans="1:11">
      <c r="A44" s="98">
        <v>59</v>
      </c>
      <c r="B44" s="17"/>
      <c r="C44" s="17"/>
      <c r="D44" s="17"/>
      <c r="E44" s="18"/>
      <c r="F44" s="132"/>
      <c r="G44" s="116"/>
      <c r="H44" s="17"/>
      <c r="I44" s="17"/>
      <c r="J44" s="117"/>
      <c r="K44" s="17"/>
    </row>
    <row r="45" spans="1:11">
      <c r="A45" s="98">
        <v>60</v>
      </c>
      <c r="B45" s="17"/>
      <c r="C45" s="17"/>
      <c r="D45" s="17"/>
      <c r="E45" s="18"/>
      <c r="F45" s="132"/>
      <c r="G45" s="116"/>
      <c r="H45" s="17"/>
      <c r="I45" s="17"/>
      <c r="J45" s="117"/>
      <c r="K45" s="17"/>
    </row>
    <row r="46" spans="1:11">
      <c r="A46" s="98">
        <v>61</v>
      </c>
      <c r="B46" s="17"/>
      <c r="C46" s="17"/>
      <c r="D46" s="17"/>
      <c r="E46" s="18"/>
      <c r="F46" s="132"/>
      <c r="G46" s="116"/>
      <c r="H46" s="17"/>
      <c r="I46" s="17"/>
      <c r="J46" s="117"/>
      <c r="K46" s="17"/>
    </row>
    <row r="47" spans="1:11">
      <c r="A47" s="98">
        <v>62</v>
      </c>
      <c r="B47" s="17"/>
      <c r="C47" s="17"/>
      <c r="D47" s="17"/>
      <c r="E47" s="18"/>
      <c r="F47" s="132"/>
      <c r="G47" s="116"/>
      <c r="H47" s="17"/>
      <c r="I47" s="17"/>
      <c r="J47" s="117"/>
      <c r="K47" s="17"/>
    </row>
    <row r="48" spans="1:11">
      <c r="A48" s="98">
        <v>63</v>
      </c>
      <c r="B48" s="17"/>
      <c r="C48" s="17"/>
      <c r="D48" s="17"/>
      <c r="E48" s="18"/>
      <c r="F48" s="132"/>
      <c r="G48" s="116"/>
      <c r="H48" s="17"/>
      <c r="I48" s="17"/>
      <c r="J48" s="117"/>
      <c r="K48" s="17"/>
    </row>
    <row r="49" spans="1:11">
      <c r="A49" s="98">
        <v>64</v>
      </c>
      <c r="B49" s="17"/>
      <c r="C49" s="17"/>
      <c r="D49" s="17"/>
      <c r="E49" s="18"/>
      <c r="F49" s="132"/>
      <c r="G49" s="116"/>
      <c r="H49" s="17"/>
      <c r="I49" s="17"/>
      <c r="J49" s="117"/>
      <c r="K49" s="17"/>
    </row>
    <row r="50" spans="1:11">
      <c r="A50" s="98">
        <v>65</v>
      </c>
      <c r="B50" s="17"/>
      <c r="C50" s="17"/>
      <c r="D50" s="17"/>
      <c r="E50" s="18"/>
      <c r="F50" s="132"/>
      <c r="G50" s="116"/>
      <c r="H50" s="17"/>
      <c r="I50" s="17"/>
      <c r="J50" s="117"/>
      <c r="K50" s="17"/>
    </row>
    <row r="51" spans="1:11">
      <c r="A51" s="98">
        <v>66</v>
      </c>
      <c r="B51" s="17"/>
      <c r="C51" s="17"/>
      <c r="D51" s="17"/>
      <c r="E51" s="18"/>
      <c r="F51" s="132"/>
      <c r="G51" s="116"/>
      <c r="H51" s="17"/>
      <c r="I51" s="17"/>
      <c r="J51" s="117"/>
      <c r="K51" s="17"/>
    </row>
    <row r="52" spans="1:11">
      <c r="A52" s="98">
        <v>67</v>
      </c>
      <c r="B52" s="17"/>
      <c r="C52" s="17"/>
      <c r="D52" s="17"/>
      <c r="E52" s="18"/>
      <c r="F52" s="132"/>
      <c r="G52" s="116"/>
      <c r="H52" s="17"/>
      <c r="I52" s="17"/>
      <c r="J52" s="117"/>
      <c r="K52" s="17"/>
    </row>
    <row r="53" spans="1:11">
      <c r="A53" s="98">
        <v>68</v>
      </c>
      <c r="B53" s="17"/>
      <c r="C53" s="17"/>
      <c r="D53" s="17"/>
      <c r="E53" s="18"/>
      <c r="F53" s="132"/>
      <c r="G53" s="116"/>
      <c r="H53" s="17"/>
      <c r="I53" s="17"/>
      <c r="J53" s="117"/>
      <c r="K53" s="17"/>
    </row>
    <row r="54" spans="1:11">
      <c r="A54" s="98">
        <v>69</v>
      </c>
      <c r="B54" s="17"/>
      <c r="C54" s="17"/>
      <c r="D54" s="17"/>
      <c r="E54" s="18"/>
      <c r="F54" s="132"/>
      <c r="G54" s="116"/>
      <c r="H54" s="17"/>
      <c r="I54" s="17"/>
      <c r="J54" s="117"/>
      <c r="K54" s="17"/>
    </row>
    <row r="55" spans="1:11">
      <c r="A55" s="98">
        <v>70</v>
      </c>
      <c r="B55" s="17"/>
      <c r="C55" s="17"/>
      <c r="D55" s="17"/>
      <c r="E55" s="18"/>
      <c r="F55" s="132"/>
      <c r="G55" s="116"/>
      <c r="H55" s="17"/>
      <c r="I55" s="17"/>
      <c r="J55" s="117"/>
      <c r="K55" s="17"/>
    </row>
    <row r="56" spans="1:11">
      <c r="A56" s="98">
        <v>71</v>
      </c>
      <c r="B56" s="17"/>
      <c r="C56" s="17"/>
      <c r="D56" s="17"/>
      <c r="E56" s="18"/>
      <c r="F56" s="132"/>
      <c r="G56" s="116"/>
      <c r="H56" s="17"/>
      <c r="I56" s="17"/>
      <c r="J56" s="117"/>
      <c r="K56" s="17"/>
    </row>
    <row r="57" spans="1:11">
      <c r="A57" s="98">
        <v>72</v>
      </c>
      <c r="B57" s="17"/>
      <c r="C57" s="17"/>
      <c r="D57" s="17"/>
      <c r="E57" s="18"/>
      <c r="F57" s="132"/>
      <c r="G57" s="116"/>
      <c r="H57" s="17"/>
      <c r="I57" s="17"/>
      <c r="J57" s="117"/>
      <c r="K57" s="17"/>
    </row>
    <row r="58" spans="1:11">
      <c r="A58" s="98">
        <v>73</v>
      </c>
      <c r="B58" s="17"/>
      <c r="C58" s="17"/>
      <c r="D58" s="17"/>
      <c r="E58" s="18"/>
      <c r="F58" s="132"/>
      <c r="G58" s="116"/>
      <c r="H58" s="17"/>
      <c r="I58" s="17"/>
      <c r="J58" s="117"/>
      <c r="K58" s="17"/>
    </row>
    <row r="59" spans="1:11">
      <c r="A59" s="98">
        <v>74</v>
      </c>
      <c r="B59" s="17"/>
      <c r="C59" s="17"/>
      <c r="D59" s="17"/>
      <c r="E59" s="18"/>
      <c r="F59" s="132"/>
      <c r="G59" s="116"/>
      <c r="H59" s="17"/>
      <c r="I59" s="17"/>
      <c r="J59" s="117"/>
      <c r="K59" s="17"/>
    </row>
    <row r="60" spans="1:11">
      <c r="A60" s="98">
        <v>75</v>
      </c>
      <c r="B60" s="17"/>
      <c r="C60" s="17"/>
      <c r="D60" s="17"/>
      <c r="E60" s="18"/>
      <c r="F60" s="132"/>
      <c r="G60" s="116"/>
      <c r="H60" s="17"/>
      <c r="I60" s="17"/>
      <c r="J60" s="117"/>
      <c r="K60" s="17"/>
    </row>
    <row r="61" spans="1:11">
      <c r="A61" s="98">
        <v>76</v>
      </c>
      <c r="B61" s="17"/>
      <c r="C61" s="17"/>
      <c r="D61" s="17"/>
      <c r="E61" s="18"/>
      <c r="F61" s="132"/>
      <c r="G61" s="116"/>
      <c r="H61" s="17"/>
      <c r="I61" s="17"/>
      <c r="J61" s="117"/>
      <c r="K61" s="17"/>
    </row>
    <row r="62" spans="1:11">
      <c r="A62" s="98">
        <v>77</v>
      </c>
      <c r="B62" s="17"/>
      <c r="C62" s="17"/>
      <c r="D62" s="17"/>
      <c r="E62" s="18"/>
      <c r="F62" s="132"/>
      <c r="G62" s="116"/>
      <c r="H62" s="17"/>
      <c r="I62" s="17"/>
      <c r="J62" s="117"/>
      <c r="K62" s="17"/>
    </row>
    <row r="63" spans="1:11">
      <c r="A63" s="98">
        <v>78</v>
      </c>
      <c r="B63" s="17"/>
      <c r="C63" s="17"/>
      <c r="D63" s="17"/>
      <c r="E63" s="18"/>
      <c r="F63" s="132"/>
      <c r="G63" s="116"/>
      <c r="H63" s="17"/>
      <c r="I63" s="17"/>
      <c r="J63" s="117"/>
      <c r="K63" s="17"/>
    </row>
    <row r="64" spans="1:11">
      <c r="A64" s="98">
        <v>79</v>
      </c>
      <c r="B64" s="17"/>
      <c r="C64" s="17"/>
      <c r="D64" s="17"/>
      <c r="E64" s="18"/>
      <c r="F64" s="132"/>
      <c r="G64" s="116"/>
      <c r="H64" s="17"/>
      <c r="I64" s="17"/>
      <c r="J64" s="117"/>
      <c r="K64" s="17"/>
    </row>
    <row r="65" spans="1:11">
      <c r="A65" s="98">
        <v>80</v>
      </c>
      <c r="B65" s="17"/>
      <c r="C65" s="17"/>
      <c r="D65" s="17"/>
      <c r="E65" s="18"/>
      <c r="F65" s="132"/>
      <c r="G65" s="116"/>
      <c r="H65" s="17"/>
      <c r="I65" s="17"/>
      <c r="J65" s="117"/>
      <c r="K65" s="17"/>
    </row>
    <row r="66" spans="1:11">
      <c r="A66" s="98">
        <v>81</v>
      </c>
      <c r="B66" s="17"/>
      <c r="C66" s="17"/>
      <c r="D66" s="17"/>
      <c r="E66" s="18"/>
      <c r="F66" s="132"/>
      <c r="G66" s="116"/>
      <c r="H66" s="17"/>
      <c r="I66" s="17"/>
      <c r="J66" s="117"/>
      <c r="K66" s="17"/>
    </row>
    <row r="67" spans="1:11">
      <c r="A67" s="98">
        <v>82</v>
      </c>
      <c r="B67" s="17"/>
      <c r="C67" s="17"/>
      <c r="D67" s="17"/>
      <c r="E67" s="18"/>
      <c r="F67" s="132"/>
      <c r="G67" s="116"/>
      <c r="H67" s="17"/>
      <c r="I67" s="17"/>
      <c r="J67" s="117"/>
      <c r="K67" s="17"/>
    </row>
    <row r="68" spans="1:11">
      <c r="A68" s="98">
        <v>83</v>
      </c>
      <c r="B68" s="17"/>
      <c r="C68" s="17"/>
      <c r="D68" s="17"/>
      <c r="E68" s="18"/>
      <c r="F68" s="132"/>
      <c r="G68" s="116"/>
      <c r="H68" s="17"/>
      <c r="I68" s="17"/>
      <c r="J68" s="117"/>
      <c r="K68" s="17"/>
    </row>
    <row r="69" spans="1:11">
      <c r="A69" s="98">
        <v>84</v>
      </c>
      <c r="B69" s="17"/>
      <c r="C69" s="17"/>
      <c r="D69" s="17"/>
      <c r="E69" s="18"/>
      <c r="F69" s="132"/>
      <c r="G69" s="116"/>
      <c r="H69" s="17"/>
      <c r="I69" s="17"/>
      <c r="J69" s="117"/>
      <c r="K69" s="17"/>
    </row>
    <row r="70" spans="1:11">
      <c r="A70" s="98">
        <v>85</v>
      </c>
      <c r="B70" s="17"/>
      <c r="C70" s="17"/>
      <c r="D70" s="17"/>
      <c r="E70" s="18"/>
      <c r="F70" s="132"/>
      <c r="G70" s="116"/>
      <c r="H70" s="17"/>
      <c r="I70" s="17"/>
      <c r="J70" s="117"/>
      <c r="K70" s="17"/>
    </row>
    <row r="71" spans="1:11">
      <c r="A71" s="98">
        <v>86</v>
      </c>
      <c r="B71" s="17"/>
      <c r="C71" s="17"/>
      <c r="D71" s="17"/>
      <c r="E71" s="18"/>
      <c r="F71" s="132"/>
      <c r="G71" s="116"/>
      <c r="H71" s="17"/>
      <c r="I71" s="17"/>
      <c r="J71" s="117"/>
      <c r="K71" s="17"/>
    </row>
    <row r="72" spans="1:11">
      <c r="A72" s="98">
        <v>87</v>
      </c>
      <c r="B72" s="17"/>
      <c r="C72" s="17"/>
      <c r="D72" s="17"/>
      <c r="E72" s="18"/>
      <c r="F72" s="132"/>
      <c r="G72" s="116"/>
      <c r="H72" s="17"/>
      <c r="I72" s="17"/>
      <c r="J72" s="117"/>
      <c r="K72" s="17"/>
    </row>
    <row r="73" spans="1:11">
      <c r="A73" s="98">
        <v>88</v>
      </c>
      <c r="B73" s="17"/>
      <c r="C73" s="17"/>
      <c r="D73" s="17"/>
      <c r="E73" s="18"/>
      <c r="F73" s="132"/>
      <c r="G73" s="116"/>
      <c r="H73" s="17"/>
      <c r="I73" s="17"/>
      <c r="J73" s="117"/>
      <c r="K73" s="17"/>
    </row>
    <row r="74" spans="1:11">
      <c r="A74" s="98">
        <v>89</v>
      </c>
      <c r="B74" s="17"/>
      <c r="C74" s="17"/>
      <c r="D74" s="17"/>
      <c r="E74" s="18"/>
      <c r="F74" s="132"/>
      <c r="G74" s="116"/>
      <c r="H74" s="17"/>
      <c r="I74" s="17"/>
      <c r="J74" s="117"/>
      <c r="K74" s="17"/>
    </row>
    <row r="75" spans="1:11">
      <c r="A75" s="98">
        <v>90</v>
      </c>
      <c r="B75" s="17"/>
      <c r="C75" s="17"/>
      <c r="D75" s="17"/>
      <c r="E75" s="18"/>
      <c r="F75" s="132"/>
      <c r="G75" s="116"/>
      <c r="H75" s="17"/>
      <c r="I75" s="17"/>
      <c r="J75" s="117"/>
      <c r="K75" s="17"/>
    </row>
    <row r="76" spans="1:11">
      <c r="A76" s="98">
        <v>91</v>
      </c>
      <c r="B76" s="17"/>
      <c r="C76" s="17"/>
      <c r="D76" s="17"/>
      <c r="E76" s="18"/>
      <c r="F76" s="132"/>
      <c r="G76" s="116"/>
      <c r="H76" s="17"/>
      <c r="I76" s="17"/>
      <c r="J76" s="117"/>
      <c r="K76" s="17"/>
    </row>
    <row r="77" spans="1:11">
      <c r="A77" s="98">
        <v>92</v>
      </c>
      <c r="B77" s="17"/>
      <c r="C77" s="17"/>
      <c r="D77" s="17"/>
      <c r="E77" s="18"/>
      <c r="F77" s="132"/>
      <c r="G77" s="116"/>
      <c r="H77" s="17"/>
      <c r="I77" s="17"/>
      <c r="J77" s="117"/>
      <c r="K77" s="17"/>
    </row>
    <row r="78" spans="1:11">
      <c r="A78" s="98">
        <v>93</v>
      </c>
      <c r="B78" s="17"/>
      <c r="C78" s="17"/>
      <c r="D78" s="17"/>
      <c r="E78" s="18"/>
      <c r="F78" s="132"/>
      <c r="G78" s="116"/>
      <c r="H78" s="17"/>
      <c r="I78" s="17"/>
      <c r="J78" s="117"/>
      <c r="K78" s="17"/>
    </row>
    <row r="79" spans="1:11">
      <c r="A79" s="98">
        <v>94</v>
      </c>
      <c r="B79" s="17"/>
      <c r="C79" s="17"/>
      <c r="D79" s="17"/>
      <c r="E79" s="18"/>
      <c r="F79" s="132"/>
      <c r="G79" s="116"/>
      <c r="H79" s="17"/>
      <c r="I79" s="17"/>
      <c r="J79" s="117"/>
      <c r="K79" s="17"/>
    </row>
    <row r="80" spans="1:11">
      <c r="A80" s="98">
        <v>95</v>
      </c>
      <c r="B80" s="17"/>
      <c r="C80" s="17"/>
      <c r="D80" s="17"/>
      <c r="E80" s="18"/>
      <c r="F80" s="132"/>
      <c r="G80" s="116"/>
      <c r="H80" s="17"/>
      <c r="I80" s="17"/>
      <c r="J80" s="117"/>
      <c r="K80" s="17"/>
    </row>
    <row r="81" spans="1:11">
      <c r="A81" s="98">
        <v>96</v>
      </c>
      <c r="B81" s="17"/>
      <c r="C81" s="17"/>
      <c r="D81" s="17"/>
      <c r="E81" s="18"/>
      <c r="F81" s="132"/>
      <c r="G81" s="116"/>
      <c r="H81" s="17"/>
      <c r="I81" s="17"/>
      <c r="J81" s="117"/>
      <c r="K81" s="17"/>
    </row>
    <row r="82" spans="1:11">
      <c r="A82" s="98">
        <v>97</v>
      </c>
      <c r="B82" s="17"/>
      <c r="C82" s="17"/>
      <c r="D82" s="17"/>
      <c r="E82" s="18"/>
      <c r="F82" s="132"/>
      <c r="G82" s="116"/>
      <c r="H82" s="17"/>
      <c r="I82" s="17"/>
      <c r="J82" s="117"/>
      <c r="K82" s="17"/>
    </row>
    <row r="83" spans="1:11">
      <c r="A83" s="98">
        <v>98</v>
      </c>
      <c r="B83" s="17"/>
      <c r="C83" s="17"/>
      <c r="D83" s="17"/>
      <c r="E83" s="18"/>
      <c r="F83" s="132"/>
      <c r="G83" s="116"/>
      <c r="H83" s="17"/>
      <c r="I83" s="17"/>
      <c r="J83" s="117"/>
      <c r="K83" s="17"/>
    </row>
    <row r="84" spans="1:11">
      <c r="A84" s="98">
        <v>99</v>
      </c>
      <c r="B84" s="17"/>
      <c r="C84" s="17"/>
      <c r="D84" s="17"/>
      <c r="E84" s="18"/>
      <c r="F84" s="132"/>
      <c r="G84" s="116"/>
      <c r="H84" s="17"/>
      <c r="I84" s="17"/>
      <c r="J84" s="117"/>
      <c r="K84" s="17"/>
    </row>
    <row r="85" spans="1:11">
      <c r="A85" s="98">
        <v>100</v>
      </c>
      <c r="B85" s="17"/>
      <c r="C85" s="17"/>
      <c r="D85" s="17"/>
      <c r="E85" s="18"/>
      <c r="F85" s="132"/>
      <c r="G85" s="116"/>
      <c r="H85" s="17"/>
      <c r="I85" s="17"/>
      <c r="J85" s="117"/>
      <c r="K85" s="17"/>
    </row>
    <row r="86" spans="1:11">
      <c r="A86" s="98">
        <v>101</v>
      </c>
      <c r="B86" s="17"/>
      <c r="C86" s="17"/>
      <c r="D86" s="17"/>
      <c r="E86" s="18"/>
      <c r="F86" s="132"/>
      <c r="G86" s="116"/>
      <c r="H86" s="17"/>
      <c r="I86" s="17"/>
      <c r="J86" s="117"/>
      <c r="K86" s="17"/>
    </row>
    <row r="87" spans="1:11">
      <c r="A87" s="98">
        <v>102</v>
      </c>
      <c r="B87" s="17"/>
      <c r="C87" s="17"/>
      <c r="D87" s="17"/>
      <c r="E87" s="18"/>
      <c r="F87" s="132"/>
      <c r="G87" s="116"/>
      <c r="H87" s="17"/>
      <c r="I87" s="17"/>
      <c r="J87" s="117"/>
      <c r="K87" s="17"/>
    </row>
    <row r="88" spans="1:11">
      <c r="A88" s="98">
        <v>103</v>
      </c>
      <c r="B88" s="17"/>
      <c r="C88" s="17"/>
      <c r="D88" s="17"/>
      <c r="E88" s="18"/>
      <c r="F88" s="132"/>
      <c r="G88" s="116"/>
      <c r="H88" s="17"/>
      <c r="I88" s="17"/>
      <c r="J88" s="117"/>
      <c r="K88" s="17"/>
    </row>
    <row r="89" spans="1:11">
      <c r="A89" s="98">
        <v>104</v>
      </c>
      <c r="B89" s="17"/>
      <c r="C89" s="17"/>
      <c r="D89" s="17"/>
      <c r="E89" s="18"/>
      <c r="F89" s="132"/>
      <c r="G89" s="116"/>
      <c r="H89" s="17"/>
      <c r="I89" s="17"/>
      <c r="J89" s="117"/>
      <c r="K89" s="17"/>
    </row>
    <row r="90" spans="1:11">
      <c r="A90" s="98">
        <v>105</v>
      </c>
      <c r="B90" s="17"/>
      <c r="C90" s="17"/>
      <c r="D90" s="17"/>
      <c r="E90" s="18"/>
      <c r="F90" s="132"/>
      <c r="G90" s="116"/>
      <c r="H90" s="17"/>
      <c r="I90" s="17"/>
      <c r="J90" s="117"/>
      <c r="K90" s="17"/>
    </row>
    <row r="91" spans="1:11">
      <c r="A91" s="98">
        <v>106</v>
      </c>
      <c r="B91" s="17"/>
      <c r="C91" s="17"/>
      <c r="D91" s="17"/>
      <c r="E91" s="18"/>
      <c r="F91" s="132"/>
      <c r="G91" s="116"/>
      <c r="H91" s="17"/>
      <c r="I91" s="17"/>
      <c r="J91" s="117"/>
      <c r="K91" s="17"/>
    </row>
    <row r="92" spans="1:11">
      <c r="A92" s="98">
        <v>107</v>
      </c>
      <c r="B92" s="17"/>
      <c r="C92" s="17"/>
      <c r="D92" s="17"/>
      <c r="E92" s="18"/>
      <c r="F92" s="132"/>
      <c r="G92" s="116"/>
      <c r="H92" s="17"/>
      <c r="I92" s="17"/>
      <c r="J92" s="117"/>
      <c r="K92" s="17"/>
    </row>
    <row r="93" spans="1:11">
      <c r="A93" s="98">
        <v>108</v>
      </c>
      <c r="B93" s="17"/>
      <c r="C93" s="17"/>
      <c r="D93" s="17"/>
      <c r="E93" s="18"/>
      <c r="F93" s="132"/>
      <c r="G93" s="116"/>
      <c r="H93" s="17"/>
      <c r="I93" s="17"/>
      <c r="J93" s="117"/>
      <c r="K93" s="17"/>
    </row>
    <row r="94" spans="1:11">
      <c r="A94" s="98">
        <v>109</v>
      </c>
      <c r="B94" s="17"/>
      <c r="C94" s="17"/>
      <c r="D94" s="17"/>
      <c r="E94" s="18"/>
      <c r="F94" s="132"/>
      <c r="G94" s="116"/>
      <c r="H94" s="17"/>
      <c r="I94" s="17"/>
      <c r="J94" s="117"/>
      <c r="K94" s="17"/>
    </row>
    <row r="95" spans="1:11">
      <c r="A95" s="98">
        <v>110</v>
      </c>
      <c r="B95" s="17"/>
      <c r="C95" s="17"/>
      <c r="D95" s="17"/>
      <c r="E95" s="18"/>
      <c r="F95" s="132"/>
      <c r="G95" s="116"/>
      <c r="H95" s="17"/>
      <c r="I95" s="17"/>
      <c r="J95" s="117"/>
      <c r="K95" s="17"/>
    </row>
    <row r="96" spans="1:11">
      <c r="A96" s="98">
        <v>111</v>
      </c>
      <c r="B96" s="17"/>
      <c r="C96" s="17"/>
      <c r="D96" s="17"/>
      <c r="E96" s="18"/>
      <c r="F96" s="132"/>
      <c r="G96" s="116"/>
      <c r="H96" s="17"/>
      <c r="I96" s="17"/>
      <c r="J96" s="117"/>
      <c r="K96" s="17"/>
    </row>
    <row r="97" spans="1:11">
      <c r="A97" s="98">
        <v>112</v>
      </c>
      <c r="B97" s="17"/>
      <c r="C97" s="17"/>
      <c r="D97" s="17"/>
      <c r="E97" s="18"/>
      <c r="F97" s="132"/>
      <c r="G97" s="116"/>
      <c r="H97" s="17"/>
      <c r="I97" s="17"/>
      <c r="J97" s="117"/>
      <c r="K97" s="17"/>
    </row>
    <row r="98" spans="1:11">
      <c r="A98" s="108"/>
      <c r="B98" s="204" t="s">
        <v>98</v>
      </c>
      <c r="C98" s="204"/>
      <c r="D98" s="108"/>
      <c r="E98" s="118"/>
      <c r="F98" s="119">
        <f>SUM(F7:F97)</f>
        <v>210000</v>
      </c>
      <c r="G98" s="120">
        <f>SUM(G7:G97)</f>
        <v>0</v>
      </c>
      <c r="H98" s="108"/>
      <c r="I98" s="108"/>
      <c r="J98" s="108"/>
      <c r="K98" s="108"/>
    </row>
  </sheetData>
  <mergeCells count="3">
    <mergeCell ref="A1:K1"/>
    <mergeCell ref="B2:C2"/>
    <mergeCell ref="B98:C98"/>
  </mergeCells>
  <hyperlinks>
    <hyperlink ref="K2" location="الاليات!A1" display="الاليات " xr:uid="{00000000-0004-0000-3A00-000000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K118"/>
  <sheetViews>
    <sheetView rightToLeft="1" view="pageBreakPreview" zoomScale="140" zoomScaleNormal="100" zoomScaleSheetLayoutView="14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6.6640625" style="1" bestFit="1" customWidth="1"/>
    <col min="3" max="3" width="15.6640625" style="1" bestFit="1" customWidth="1"/>
    <col min="4" max="4" width="12.77734375" style="1" bestFit="1" customWidth="1"/>
    <col min="5" max="5" width="22.21875" style="73" bestFit="1" customWidth="1"/>
    <col min="6" max="6" width="15.109375" style="114" bestFit="1" customWidth="1"/>
    <col min="7" max="7" width="7.6640625" style="79" bestFit="1" customWidth="1"/>
    <col min="8" max="8" width="13.44140625" style="1" bestFit="1" customWidth="1"/>
    <col min="9" max="9" width="10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56</v>
      </c>
      <c r="B2" s="202" t="s">
        <v>900</v>
      </c>
      <c r="C2" s="203"/>
      <c r="D2" s="85"/>
      <c r="E2" s="86" t="s">
        <v>8</v>
      </c>
      <c r="F2" s="87">
        <v>2002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895</v>
      </c>
      <c r="D3" s="89"/>
      <c r="E3" s="86" t="s">
        <v>68</v>
      </c>
      <c r="F3" s="87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120</v>
      </c>
      <c r="C7" s="17"/>
      <c r="D7" s="130">
        <v>44957</v>
      </c>
      <c r="E7" s="18" t="s">
        <v>205</v>
      </c>
      <c r="F7" s="132">
        <v>25000</v>
      </c>
      <c r="G7" s="25"/>
      <c r="H7" s="17" t="s">
        <v>123</v>
      </c>
      <c r="I7" s="17"/>
      <c r="J7" s="117"/>
      <c r="K7" s="17"/>
    </row>
    <row r="8" spans="1:11">
      <c r="A8" s="17">
        <v>2</v>
      </c>
      <c r="B8" s="17"/>
      <c r="C8" s="17">
        <v>485</v>
      </c>
      <c r="D8" s="17" t="s">
        <v>305</v>
      </c>
      <c r="E8" s="18" t="s">
        <v>306</v>
      </c>
      <c r="F8" s="132">
        <v>50000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485</v>
      </c>
      <c r="D9" s="17" t="s">
        <v>305</v>
      </c>
      <c r="E9" s="18" t="s">
        <v>259</v>
      </c>
      <c r="F9" s="132"/>
      <c r="G9" s="25">
        <v>1125</v>
      </c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4984</v>
      </c>
      <c r="D10" s="17" t="s">
        <v>302</v>
      </c>
      <c r="E10" s="18" t="s">
        <v>309</v>
      </c>
      <c r="F10" s="132">
        <v>85000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4984</v>
      </c>
      <c r="D11" s="17" t="s">
        <v>302</v>
      </c>
      <c r="E11" s="18" t="s">
        <v>259</v>
      </c>
      <c r="F11" s="132"/>
      <c r="G11" s="25">
        <v>1150</v>
      </c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>
        <v>5596</v>
      </c>
      <c r="D12" s="130">
        <v>45117</v>
      </c>
      <c r="E12" s="18" t="s">
        <v>135</v>
      </c>
      <c r="F12" s="132"/>
      <c r="G12" s="25">
        <v>126</v>
      </c>
      <c r="H12" s="17" t="s">
        <v>75</v>
      </c>
      <c r="I12" s="17"/>
      <c r="J12" s="117"/>
      <c r="K12" s="17"/>
    </row>
    <row r="13" spans="1:11" ht="52.2">
      <c r="A13" s="17">
        <v>7</v>
      </c>
      <c r="B13" s="17"/>
      <c r="C13" s="98">
        <v>6758</v>
      </c>
      <c r="D13" s="98" t="s">
        <v>545</v>
      </c>
      <c r="E13" s="99" t="s">
        <v>549</v>
      </c>
      <c r="F13" s="100">
        <v>1005000</v>
      </c>
      <c r="G13" s="101"/>
      <c r="H13" s="98" t="s">
        <v>75</v>
      </c>
      <c r="I13" s="17"/>
      <c r="J13" s="117"/>
      <c r="K13" s="17"/>
    </row>
    <row r="14" spans="1:11">
      <c r="A14" s="17">
        <v>8</v>
      </c>
      <c r="B14" s="17"/>
      <c r="C14" s="17">
        <v>7621</v>
      </c>
      <c r="D14" s="130">
        <v>45655</v>
      </c>
      <c r="E14" s="18" t="s">
        <v>665</v>
      </c>
      <c r="F14" s="132">
        <v>240000</v>
      </c>
      <c r="G14" s="25"/>
      <c r="H14" s="17" t="s">
        <v>75</v>
      </c>
      <c r="I14" s="17"/>
      <c r="J14" s="117"/>
      <c r="K14" s="17"/>
    </row>
    <row r="15" spans="1:11" ht="34.799999999999997">
      <c r="A15" s="17">
        <v>9</v>
      </c>
      <c r="B15" s="17"/>
      <c r="C15" s="98">
        <v>7658</v>
      </c>
      <c r="D15" s="135">
        <v>45662</v>
      </c>
      <c r="E15" s="99" t="s">
        <v>678</v>
      </c>
      <c r="F15" s="100">
        <v>589000</v>
      </c>
      <c r="G15" s="127"/>
      <c r="H15" s="98" t="s">
        <v>75</v>
      </c>
      <c r="I15" s="17"/>
      <c r="J15" s="117"/>
      <c r="K15" s="17"/>
    </row>
    <row r="16" spans="1:11" ht="34.799999999999997">
      <c r="A16" s="17">
        <v>10</v>
      </c>
      <c r="B16" s="17"/>
      <c r="C16" s="17">
        <v>7992</v>
      </c>
      <c r="D16" s="130">
        <v>45722</v>
      </c>
      <c r="E16" s="18" t="s">
        <v>726</v>
      </c>
      <c r="F16" s="24">
        <v>205000</v>
      </c>
      <c r="G16" s="116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8713</v>
      </c>
      <c r="D17" s="130">
        <v>45777</v>
      </c>
      <c r="E17" s="18" t="s">
        <v>761</v>
      </c>
      <c r="F17" s="132">
        <v>235000</v>
      </c>
      <c r="G17" s="25"/>
      <c r="H17" s="117" t="s">
        <v>75</v>
      </c>
      <c r="I17" s="17"/>
      <c r="J17" s="117"/>
      <c r="K17" s="17"/>
    </row>
    <row r="18" spans="1:11">
      <c r="A18" s="17">
        <v>12</v>
      </c>
      <c r="B18" s="17"/>
      <c r="C18" s="17">
        <v>8850</v>
      </c>
      <c r="D18" s="130">
        <v>45798</v>
      </c>
      <c r="E18" s="18" t="s">
        <v>618</v>
      </c>
      <c r="F18" s="132">
        <v>1600000</v>
      </c>
      <c r="G18" s="25"/>
      <c r="H18" s="98" t="s">
        <v>75</v>
      </c>
      <c r="I18" s="17"/>
      <c r="J18" s="117"/>
      <c r="K18" s="17"/>
    </row>
    <row r="19" spans="1:11" ht="34.799999999999997">
      <c r="A19" s="17">
        <v>13</v>
      </c>
      <c r="B19" s="17"/>
      <c r="C19" s="143">
        <v>8981</v>
      </c>
      <c r="D19" s="144">
        <v>45813</v>
      </c>
      <c r="E19" s="99" t="s">
        <v>793</v>
      </c>
      <c r="F19" s="145">
        <v>180000</v>
      </c>
      <c r="G19" s="116"/>
      <c r="H19" s="17" t="s">
        <v>75</v>
      </c>
      <c r="I19" s="17"/>
      <c r="J19" s="117"/>
      <c r="K19" s="17"/>
    </row>
    <row r="20" spans="1:11">
      <c r="A20" s="17">
        <v>14</v>
      </c>
      <c r="B20" s="17"/>
      <c r="C20" s="17">
        <v>615</v>
      </c>
      <c r="D20" s="130">
        <v>46018</v>
      </c>
      <c r="E20" s="18" t="s">
        <v>173</v>
      </c>
      <c r="F20" s="132">
        <v>24000</v>
      </c>
      <c r="G20" s="25"/>
      <c r="H20" s="117" t="s">
        <v>75</v>
      </c>
      <c r="I20" s="17"/>
      <c r="J20" s="117"/>
      <c r="K20" s="17"/>
    </row>
    <row r="21" spans="1:11">
      <c r="A21" s="17">
        <v>15</v>
      </c>
      <c r="B21" s="17"/>
      <c r="C21" s="98">
        <v>794</v>
      </c>
      <c r="D21" s="98" t="s">
        <v>1178</v>
      </c>
      <c r="E21" s="99" t="s">
        <v>1180</v>
      </c>
      <c r="F21" s="100">
        <v>250000</v>
      </c>
      <c r="G21" s="101"/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08"/>
      <c r="B25" s="204" t="s">
        <v>98</v>
      </c>
      <c r="C25" s="204"/>
      <c r="D25" s="108"/>
      <c r="E25" s="118"/>
      <c r="F25" s="119">
        <f>SUM(F7:F24)</f>
        <v>4488000</v>
      </c>
      <c r="G25" s="120">
        <f>SUM(G7:G24)</f>
        <v>2401</v>
      </c>
      <c r="H25" s="108"/>
      <c r="I25" s="108"/>
      <c r="J25" s="121"/>
      <c r="K25" s="108"/>
    </row>
    <row r="26" spans="1:11">
      <c r="J26" s="115"/>
    </row>
    <row r="27" spans="1:11">
      <c r="J27" s="115"/>
    </row>
    <row r="28" spans="1:11">
      <c r="J28" s="115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5:C25"/>
  </mergeCells>
  <hyperlinks>
    <hyperlink ref="K2" location="الاليات!A1" display="الاليات " xr:uid="{00000000-0004-0000-3B00-000000000000}"/>
  </hyperlinks>
  <pageMargins left="0.7" right="0.7" top="0.75" bottom="0.75" header="0.3" footer="0.3"/>
  <pageSetup paperSize="9" scale="85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K141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4" width="12.77734375" style="1" bestFit="1" customWidth="1"/>
    <col min="5" max="5" width="17" style="73" bestFit="1" customWidth="1"/>
    <col min="6" max="6" width="16.33203125" style="114" bestFit="1" customWidth="1"/>
    <col min="7" max="7" width="6.109375" style="79" bestFit="1" customWidth="1"/>
    <col min="8" max="8" width="13.44140625" style="1" bestFit="1" customWidth="1"/>
    <col min="9" max="9" width="16.66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57</v>
      </c>
      <c r="B2" s="202" t="s">
        <v>163</v>
      </c>
      <c r="C2" s="203"/>
      <c r="D2" s="138"/>
      <c r="E2" s="86" t="s">
        <v>8</v>
      </c>
      <c r="F2" s="87">
        <v>2001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83</v>
      </c>
      <c r="D3" s="35"/>
      <c r="E3" s="86" t="s">
        <v>68</v>
      </c>
      <c r="F3" s="140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34.799999999999997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880</v>
      </c>
      <c r="J6" s="94" t="s">
        <v>970</v>
      </c>
      <c r="K6" s="97"/>
    </row>
    <row r="7" spans="1:11" ht="34.799999999999997">
      <c r="A7" s="17">
        <v>1</v>
      </c>
      <c r="B7" s="17" t="s">
        <v>123</v>
      </c>
      <c r="C7" s="17"/>
      <c r="D7" s="130">
        <v>45048</v>
      </c>
      <c r="E7" s="18" t="s">
        <v>225</v>
      </c>
      <c r="F7" s="132">
        <v>175000</v>
      </c>
      <c r="G7" s="25"/>
      <c r="H7" s="17" t="s">
        <v>121</v>
      </c>
      <c r="I7" s="17"/>
      <c r="J7" s="117"/>
      <c r="K7" s="17"/>
    </row>
    <row r="8" spans="1:11">
      <c r="A8" s="17">
        <v>2</v>
      </c>
      <c r="B8" s="17" t="s">
        <v>75</v>
      </c>
      <c r="C8" s="17">
        <v>4560</v>
      </c>
      <c r="D8" s="17" t="s">
        <v>257</v>
      </c>
      <c r="E8" s="18" t="s">
        <v>135</v>
      </c>
      <c r="F8" s="132">
        <v>225000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 t="s">
        <v>261</v>
      </c>
      <c r="D9" s="130">
        <v>45262</v>
      </c>
      <c r="E9" s="18" t="s">
        <v>135</v>
      </c>
      <c r="F9" s="132">
        <v>267000</v>
      </c>
      <c r="G9" s="25"/>
      <c r="H9" s="17"/>
      <c r="I9" s="17"/>
      <c r="J9" s="117"/>
      <c r="K9" s="17"/>
    </row>
    <row r="10" spans="1:11">
      <c r="A10" s="17">
        <v>4</v>
      </c>
      <c r="B10" s="17"/>
      <c r="C10" s="17" t="s">
        <v>261</v>
      </c>
      <c r="D10" s="130" t="s">
        <v>266</v>
      </c>
      <c r="E10" s="18" t="s">
        <v>135</v>
      </c>
      <c r="F10" s="132">
        <v>397000</v>
      </c>
      <c r="G10" s="25"/>
      <c r="H10" s="17"/>
      <c r="I10" s="17"/>
      <c r="J10" s="117"/>
      <c r="K10" s="17"/>
    </row>
    <row r="11" spans="1:11">
      <c r="A11" s="17">
        <v>5</v>
      </c>
      <c r="B11" s="17"/>
      <c r="C11" s="17" t="s">
        <v>261</v>
      </c>
      <c r="D11" s="130" t="s">
        <v>267</v>
      </c>
      <c r="E11" s="18" t="s">
        <v>135</v>
      </c>
      <c r="F11" s="132">
        <v>90000</v>
      </c>
      <c r="G11" s="25"/>
      <c r="H11" s="17"/>
      <c r="I11" s="17"/>
      <c r="J11" s="117"/>
      <c r="K11" s="17"/>
    </row>
    <row r="12" spans="1:11">
      <c r="A12" s="17">
        <v>6</v>
      </c>
      <c r="B12" s="17"/>
      <c r="C12" s="17" t="s">
        <v>261</v>
      </c>
      <c r="D12" s="130" t="s">
        <v>271</v>
      </c>
      <c r="E12" s="18" t="s">
        <v>135</v>
      </c>
      <c r="F12" s="132">
        <v>1070000</v>
      </c>
      <c r="G12" s="25"/>
      <c r="H12" s="17"/>
      <c r="I12" s="17"/>
      <c r="J12" s="117"/>
      <c r="K12" s="17"/>
    </row>
    <row r="13" spans="1:11">
      <c r="A13" s="17">
        <v>7</v>
      </c>
      <c r="B13" s="17"/>
      <c r="C13" s="17">
        <v>5488</v>
      </c>
      <c r="D13" s="17" t="s">
        <v>341</v>
      </c>
      <c r="E13" s="18" t="s">
        <v>343</v>
      </c>
      <c r="F13" s="132"/>
      <c r="G13" s="25">
        <v>775</v>
      </c>
      <c r="H13" s="17" t="s">
        <v>75</v>
      </c>
      <c r="I13" s="17"/>
      <c r="J13" s="117"/>
      <c r="K13" s="17"/>
    </row>
    <row r="14" spans="1:11" ht="52.2">
      <c r="A14" s="17">
        <v>8</v>
      </c>
      <c r="B14" s="17"/>
      <c r="C14" s="17">
        <v>5792</v>
      </c>
      <c r="D14" s="17" t="s">
        <v>373</v>
      </c>
      <c r="E14" s="18" t="s">
        <v>435</v>
      </c>
      <c r="F14" s="132">
        <v>2400000</v>
      </c>
      <c r="G14" s="25"/>
      <c r="H14" s="17" t="s">
        <v>75</v>
      </c>
      <c r="I14" s="17"/>
      <c r="J14" s="117"/>
      <c r="K14" s="17"/>
    </row>
    <row r="15" spans="1:11" ht="104.4">
      <c r="A15" s="17">
        <v>9</v>
      </c>
      <c r="B15" s="17"/>
      <c r="C15" s="17">
        <v>6633</v>
      </c>
      <c r="D15" s="17" t="s">
        <v>533</v>
      </c>
      <c r="E15" s="18" t="s">
        <v>540</v>
      </c>
      <c r="F15" s="132">
        <v>1852500</v>
      </c>
      <c r="G15" s="25"/>
      <c r="H15" s="98" t="s">
        <v>75</v>
      </c>
      <c r="I15" s="17"/>
      <c r="J15" s="117"/>
      <c r="K15" s="17"/>
    </row>
    <row r="16" spans="1:11" ht="52.2">
      <c r="A16" s="17">
        <v>10</v>
      </c>
      <c r="B16" s="17"/>
      <c r="C16" s="98">
        <v>6758</v>
      </c>
      <c r="D16" s="98" t="s">
        <v>545</v>
      </c>
      <c r="E16" s="99" t="s">
        <v>547</v>
      </c>
      <c r="F16" s="100">
        <v>240000</v>
      </c>
      <c r="G16" s="101"/>
      <c r="H16" s="98" t="s">
        <v>75</v>
      </c>
      <c r="I16" s="17"/>
      <c r="J16" s="117"/>
      <c r="K16" s="17"/>
    </row>
    <row r="17" spans="1:11">
      <c r="A17" s="17">
        <v>11</v>
      </c>
      <c r="B17" s="17"/>
      <c r="C17" s="98">
        <v>7587</v>
      </c>
      <c r="D17" s="135">
        <v>45650</v>
      </c>
      <c r="E17" s="99" t="s">
        <v>656</v>
      </c>
      <c r="F17" s="100">
        <v>50000</v>
      </c>
      <c r="G17" s="101"/>
      <c r="H17" s="98" t="s">
        <v>75</v>
      </c>
      <c r="I17" s="17"/>
      <c r="J17" s="117"/>
      <c r="K17" s="17"/>
    </row>
    <row r="18" spans="1:11">
      <c r="A18" s="17">
        <v>12</v>
      </c>
      <c r="B18" s="17"/>
      <c r="C18" s="98">
        <v>7658</v>
      </c>
      <c r="D18" s="135">
        <v>45662</v>
      </c>
      <c r="E18" s="99" t="s">
        <v>679</v>
      </c>
      <c r="F18" s="100">
        <v>275000</v>
      </c>
      <c r="G18" s="127"/>
      <c r="H18" s="98" t="s">
        <v>75</v>
      </c>
      <c r="I18" s="17"/>
      <c r="J18" s="117"/>
      <c r="K18" s="17"/>
    </row>
    <row r="19" spans="1:11">
      <c r="A19" s="17">
        <v>13</v>
      </c>
      <c r="B19" s="17"/>
      <c r="C19" s="98">
        <v>7717</v>
      </c>
      <c r="D19" s="135">
        <v>45676</v>
      </c>
      <c r="E19" s="99" t="s">
        <v>259</v>
      </c>
      <c r="F19" s="100">
        <v>1950000</v>
      </c>
      <c r="G19" s="127"/>
      <c r="H19" s="98" t="s">
        <v>75</v>
      </c>
      <c r="I19" s="17"/>
      <c r="J19" s="117"/>
      <c r="K19" s="17"/>
    </row>
    <row r="20" spans="1:11">
      <c r="A20" s="17">
        <v>14</v>
      </c>
      <c r="B20" s="17"/>
      <c r="C20" s="99">
        <v>8806</v>
      </c>
      <c r="D20" s="136">
        <v>45791</v>
      </c>
      <c r="E20" s="99" t="s">
        <v>173</v>
      </c>
      <c r="F20" s="137">
        <v>15000</v>
      </c>
      <c r="G20" s="127"/>
      <c r="H20" s="98" t="s">
        <v>75</v>
      </c>
      <c r="I20" s="17"/>
      <c r="J20" s="117"/>
      <c r="K20" s="17"/>
    </row>
    <row r="21" spans="1:11">
      <c r="A21" s="17">
        <v>15</v>
      </c>
      <c r="B21" s="17"/>
      <c r="C21" s="17">
        <v>8850</v>
      </c>
      <c r="D21" s="130">
        <v>45798</v>
      </c>
      <c r="E21" s="18" t="s">
        <v>709</v>
      </c>
      <c r="F21" s="132">
        <v>90000</v>
      </c>
      <c r="G21" s="25"/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17">
        <v>9087</v>
      </c>
      <c r="D22" s="130">
        <v>45836</v>
      </c>
      <c r="E22" s="18" t="s">
        <v>169</v>
      </c>
      <c r="F22" s="24">
        <v>40000</v>
      </c>
      <c r="G22" s="116"/>
      <c r="H22" s="17" t="s">
        <v>75</v>
      </c>
      <c r="I22" s="17"/>
      <c r="J22" s="117"/>
      <c r="K22" s="17"/>
    </row>
    <row r="23" spans="1:11" ht="34.799999999999997">
      <c r="A23" s="17">
        <v>17</v>
      </c>
      <c r="B23" s="17"/>
      <c r="C23" s="17">
        <v>9434</v>
      </c>
      <c r="D23" s="130">
        <v>45874</v>
      </c>
      <c r="E23" s="18" t="s">
        <v>998</v>
      </c>
      <c r="F23" s="132">
        <v>310000</v>
      </c>
      <c r="G23" s="25"/>
      <c r="H23" s="17" t="s">
        <v>75</v>
      </c>
      <c r="I23" s="17"/>
      <c r="J23" s="117"/>
      <c r="K23" s="17"/>
    </row>
    <row r="24" spans="1:11">
      <c r="A24" s="17">
        <v>18</v>
      </c>
      <c r="B24" s="17"/>
      <c r="C24" s="98">
        <v>9539</v>
      </c>
      <c r="D24" s="135">
        <v>45890</v>
      </c>
      <c r="E24" s="99" t="s">
        <v>356</v>
      </c>
      <c r="F24" s="100">
        <v>35000</v>
      </c>
      <c r="G24" s="101"/>
      <c r="H24" s="98" t="s">
        <v>75</v>
      </c>
      <c r="I24" s="17"/>
      <c r="J24" s="117"/>
      <c r="K24" s="17"/>
    </row>
    <row r="25" spans="1:11">
      <c r="A25" s="17">
        <v>19</v>
      </c>
      <c r="B25" s="17"/>
      <c r="C25" s="17">
        <v>9920</v>
      </c>
      <c r="D25" s="130">
        <v>45931</v>
      </c>
      <c r="E25" s="18" t="s">
        <v>259</v>
      </c>
      <c r="F25" s="132">
        <v>2340000</v>
      </c>
      <c r="G25" s="25"/>
      <c r="H25" s="17" t="s">
        <v>75</v>
      </c>
      <c r="I25" s="17"/>
      <c r="J25" s="117"/>
      <c r="K25" s="17"/>
    </row>
    <row r="26" spans="1:11" ht="34.799999999999997">
      <c r="A26" s="17"/>
      <c r="B26" s="17"/>
      <c r="C26" s="17">
        <v>559</v>
      </c>
      <c r="D26" s="130">
        <v>46011</v>
      </c>
      <c r="E26" s="18" t="s">
        <v>1130</v>
      </c>
      <c r="F26" s="132">
        <v>330000</v>
      </c>
      <c r="G26" s="25"/>
      <c r="H26" s="17" t="s">
        <v>75</v>
      </c>
      <c r="I26" s="17"/>
      <c r="J26" s="117"/>
      <c r="K26" s="17"/>
    </row>
    <row r="27" spans="1:11" ht="34.799999999999997">
      <c r="A27" s="17"/>
      <c r="B27" s="17"/>
      <c r="C27" s="98">
        <v>668</v>
      </c>
      <c r="D27" s="135">
        <v>46082</v>
      </c>
      <c r="E27" s="99" t="s">
        <v>1163</v>
      </c>
      <c r="F27" s="100">
        <v>400000</v>
      </c>
      <c r="G27" s="101"/>
      <c r="H27" s="98" t="s">
        <v>75</v>
      </c>
      <c r="I27" s="17"/>
      <c r="J27" s="117"/>
      <c r="K27" s="17"/>
    </row>
    <row r="28" spans="1:11">
      <c r="A28" s="17"/>
      <c r="B28" s="17"/>
      <c r="C28" s="17"/>
      <c r="D28" s="130"/>
      <c r="E28" s="18"/>
      <c r="F28" s="132"/>
      <c r="G28" s="25"/>
      <c r="H28" s="17"/>
      <c r="I28" s="17"/>
      <c r="J28" s="117"/>
      <c r="K28" s="17"/>
    </row>
    <row r="29" spans="1:11">
      <c r="A29" s="17"/>
      <c r="B29" s="17"/>
      <c r="C29" s="17"/>
      <c r="D29" s="130"/>
      <c r="E29" s="18"/>
      <c r="F29" s="132"/>
      <c r="G29" s="25"/>
      <c r="H29" s="17"/>
      <c r="I29" s="17"/>
      <c r="J29" s="117"/>
      <c r="K29" s="17"/>
    </row>
    <row r="30" spans="1:11">
      <c r="A30" s="17"/>
      <c r="B30" s="17"/>
      <c r="C30" s="17"/>
      <c r="D30" s="130"/>
      <c r="E30" s="18"/>
      <c r="F30" s="132"/>
      <c r="G30" s="25"/>
      <c r="H30" s="17"/>
      <c r="I30" s="17"/>
      <c r="J30" s="117"/>
      <c r="K30" s="17"/>
    </row>
    <row r="31" spans="1:11">
      <c r="A31" s="17"/>
      <c r="B31" s="17"/>
      <c r="C31" s="17"/>
      <c r="D31" s="130"/>
      <c r="E31" s="18"/>
      <c r="F31" s="132"/>
      <c r="G31" s="25"/>
      <c r="H31" s="17"/>
      <c r="I31" s="17"/>
      <c r="J31" s="117"/>
      <c r="K31" s="17"/>
    </row>
    <row r="32" spans="1:11">
      <c r="A32" s="17"/>
      <c r="B32" s="17"/>
      <c r="C32" s="17"/>
      <c r="D32" s="130"/>
      <c r="E32" s="18"/>
      <c r="F32" s="132"/>
      <c r="G32" s="25"/>
      <c r="H32" s="17"/>
      <c r="I32" s="17"/>
      <c r="J32" s="117"/>
      <c r="K32" s="17"/>
    </row>
    <row r="33" spans="1:11">
      <c r="A33" s="17"/>
      <c r="B33" s="17"/>
      <c r="C33" s="17"/>
      <c r="D33" s="130"/>
      <c r="E33" s="18"/>
      <c r="F33" s="132"/>
      <c r="G33" s="25"/>
      <c r="H33" s="17"/>
      <c r="I33" s="17"/>
      <c r="J33" s="117"/>
      <c r="K33" s="17"/>
    </row>
    <row r="34" spans="1:11">
      <c r="A34" s="17"/>
      <c r="B34" s="17"/>
      <c r="C34" s="17"/>
      <c r="D34" s="130"/>
      <c r="E34" s="18"/>
      <c r="F34" s="132"/>
      <c r="G34" s="25"/>
      <c r="H34" s="17"/>
      <c r="I34" s="17"/>
      <c r="J34" s="117"/>
      <c r="K34" s="17"/>
    </row>
    <row r="35" spans="1:11">
      <c r="A35" s="17"/>
      <c r="B35" s="17"/>
      <c r="C35" s="17"/>
      <c r="D35" s="130"/>
      <c r="E35" s="18"/>
      <c r="F35" s="132"/>
      <c r="G35" s="25"/>
      <c r="H35" s="17"/>
      <c r="I35" s="17"/>
      <c r="J35" s="117"/>
      <c r="K35" s="17"/>
    </row>
    <row r="36" spans="1:11">
      <c r="A36" s="17"/>
      <c r="B36" s="17"/>
      <c r="C36" s="17"/>
      <c r="D36" s="130"/>
      <c r="E36" s="18"/>
      <c r="F36" s="132"/>
      <c r="G36" s="25"/>
      <c r="H36" s="17"/>
      <c r="I36" s="17"/>
      <c r="J36" s="117"/>
      <c r="K36" s="17"/>
    </row>
    <row r="37" spans="1:11">
      <c r="A37" s="17"/>
      <c r="B37" s="17"/>
      <c r="C37" s="17"/>
      <c r="D37" s="130"/>
      <c r="E37" s="18"/>
      <c r="F37" s="132"/>
      <c r="G37" s="25"/>
      <c r="H37" s="17"/>
      <c r="I37" s="17"/>
      <c r="J37" s="117"/>
      <c r="K37" s="17"/>
    </row>
    <row r="38" spans="1:11">
      <c r="A38" s="17"/>
      <c r="B38" s="17"/>
      <c r="C38" s="17"/>
      <c r="D38" s="130"/>
      <c r="E38" s="18"/>
      <c r="F38" s="132"/>
      <c r="G38" s="25"/>
      <c r="H38" s="17"/>
      <c r="I38" s="17"/>
      <c r="J38" s="117"/>
      <c r="K38" s="17"/>
    </row>
    <row r="39" spans="1:11">
      <c r="A39" s="17"/>
      <c r="B39" s="17"/>
      <c r="C39" s="17"/>
      <c r="D39" s="130"/>
      <c r="E39" s="18"/>
      <c r="F39" s="132"/>
      <c r="G39" s="25"/>
      <c r="H39" s="17"/>
      <c r="I39" s="17"/>
      <c r="J39" s="117"/>
      <c r="K39" s="17"/>
    </row>
    <row r="40" spans="1:11">
      <c r="A40" s="17"/>
      <c r="B40" s="17"/>
      <c r="C40" s="17"/>
      <c r="D40" s="130"/>
      <c r="E40" s="18"/>
      <c r="F40" s="132"/>
      <c r="G40" s="25"/>
      <c r="H40" s="17"/>
      <c r="I40" s="17"/>
      <c r="J40" s="117"/>
      <c r="K40" s="17"/>
    </row>
    <row r="41" spans="1:11">
      <c r="A41" s="17"/>
      <c r="B41" s="17"/>
      <c r="C41" s="17"/>
      <c r="D41" s="130"/>
      <c r="E41" s="18"/>
      <c r="F41" s="132"/>
      <c r="G41" s="25"/>
      <c r="H41" s="17"/>
      <c r="I41" s="17"/>
      <c r="J41" s="117"/>
      <c r="K41" s="17"/>
    </row>
    <row r="42" spans="1:11">
      <c r="A42" s="17"/>
      <c r="B42" s="17"/>
      <c r="C42" s="17"/>
      <c r="D42" s="130"/>
      <c r="E42" s="18"/>
      <c r="F42" s="132"/>
      <c r="G42" s="25"/>
      <c r="H42" s="17"/>
      <c r="I42" s="17"/>
      <c r="J42" s="117"/>
      <c r="K42" s="17"/>
    </row>
    <row r="43" spans="1:11">
      <c r="A43" s="17"/>
      <c r="B43" s="17"/>
      <c r="C43" s="17"/>
      <c r="D43" s="130"/>
      <c r="E43" s="18"/>
      <c r="F43" s="132"/>
      <c r="G43" s="25"/>
      <c r="H43" s="17"/>
      <c r="I43" s="17"/>
      <c r="J43" s="117"/>
      <c r="K43" s="17"/>
    </row>
    <row r="44" spans="1:11">
      <c r="A44" s="17"/>
      <c r="B44" s="17"/>
      <c r="C44" s="17"/>
      <c r="D44" s="130"/>
      <c r="E44" s="18"/>
      <c r="F44" s="132"/>
      <c r="G44" s="25"/>
      <c r="H44" s="17"/>
      <c r="I44" s="17"/>
      <c r="J44" s="117"/>
      <c r="K44" s="17"/>
    </row>
    <row r="45" spans="1:11">
      <c r="A45" s="17"/>
      <c r="B45" s="17"/>
      <c r="C45" s="17"/>
      <c r="D45" s="130"/>
      <c r="E45" s="18"/>
      <c r="F45" s="132"/>
      <c r="G45" s="25"/>
      <c r="H45" s="17"/>
      <c r="I45" s="17"/>
      <c r="J45" s="117"/>
      <c r="K45" s="17"/>
    </row>
    <row r="46" spans="1:11">
      <c r="A46" s="17"/>
      <c r="B46" s="17"/>
      <c r="C46" s="17"/>
      <c r="D46" s="130"/>
      <c r="E46" s="18"/>
      <c r="F46" s="132"/>
      <c r="G46" s="25"/>
      <c r="H46" s="17"/>
      <c r="I46" s="17"/>
      <c r="J46" s="117"/>
      <c r="K46" s="17"/>
    </row>
    <row r="47" spans="1:11">
      <c r="A47" s="17"/>
      <c r="B47" s="17"/>
      <c r="C47" s="17"/>
      <c r="D47" s="130"/>
      <c r="E47" s="18"/>
      <c r="F47" s="132"/>
      <c r="G47" s="25"/>
      <c r="H47" s="17"/>
      <c r="I47" s="17"/>
      <c r="J47" s="117"/>
      <c r="K47" s="17"/>
    </row>
    <row r="48" spans="1:11">
      <c r="A48" s="17"/>
      <c r="B48" s="17"/>
      <c r="C48" s="17"/>
      <c r="D48" s="130"/>
      <c r="E48" s="18"/>
      <c r="F48" s="132"/>
      <c r="G48" s="25"/>
      <c r="H48" s="17"/>
      <c r="I48" s="17"/>
      <c r="J48" s="117"/>
      <c r="K48" s="17"/>
    </row>
    <row r="49" spans="1:11">
      <c r="A49" s="108"/>
      <c r="B49" s="204" t="s">
        <v>98</v>
      </c>
      <c r="C49" s="204"/>
      <c r="D49" s="108"/>
      <c r="E49" s="118"/>
      <c r="F49" s="119">
        <f>SUM(F7:F48)</f>
        <v>12551500</v>
      </c>
      <c r="G49" s="120">
        <f>SUM(G7:G48)</f>
        <v>775</v>
      </c>
      <c r="H49" s="108"/>
      <c r="I49" s="108"/>
      <c r="J49" s="121"/>
      <c r="K49" s="108"/>
    </row>
    <row r="50" spans="1:11">
      <c r="J50" s="115"/>
    </row>
    <row r="51" spans="1:11">
      <c r="J51" s="115"/>
    </row>
    <row r="52" spans="1:11">
      <c r="J52" s="115"/>
    </row>
    <row r="53" spans="1:11">
      <c r="J53" s="115"/>
    </row>
    <row r="54" spans="1:11">
      <c r="J54" s="115"/>
    </row>
    <row r="55" spans="1:11">
      <c r="J55" s="115"/>
    </row>
    <row r="56" spans="1:11">
      <c r="J56" s="115"/>
    </row>
    <row r="57" spans="1:11">
      <c r="J57" s="115"/>
    </row>
    <row r="58" spans="1:11">
      <c r="J58" s="115"/>
    </row>
    <row r="59" spans="1:11">
      <c r="J59" s="115"/>
    </row>
    <row r="60" spans="1:11">
      <c r="J60" s="115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  <row r="119" spans="10:10">
      <c r="J119" s="115"/>
    </row>
    <row r="120" spans="10:10">
      <c r="J120" s="115"/>
    </row>
    <row r="121" spans="10:10">
      <c r="J121" s="115"/>
    </row>
    <row r="122" spans="10:10">
      <c r="J122" s="115"/>
    </row>
    <row r="123" spans="10:10">
      <c r="J123" s="115"/>
    </row>
    <row r="124" spans="10:10">
      <c r="J124" s="115"/>
    </row>
    <row r="125" spans="10:10">
      <c r="J125" s="115"/>
    </row>
    <row r="126" spans="10:10">
      <c r="J126" s="115"/>
    </row>
    <row r="127" spans="10:10">
      <c r="J127" s="115"/>
    </row>
    <row r="128" spans="10:10">
      <c r="J128" s="115"/>
    </row>
    <row r="129" spans="10:10">
      <c r="J129" s="115"/>
    </row>
    <row r="130" spans="10:10">
      <c r="J130" s="115"/>
    </row>
    <row r="131" spans="10:10">
      <c r="J131" s="115"/>
    </row>
    <row r="132" spans="10:10">
      <c r="J132" s="115"/>
    </row>
    <row r="133" spans="10:10">
      <c r="J133" s="115"/>
    </row>
    <row r="134" spans="10:10">
      <c r="J134" s="115"/>
    </row>
    <row r="135" spans="10:10">
      <c r="J135" s="115"/>
    </row>
    <row r="136" spans="10:10">
      <c r="J136" s="115"/>
    </row>
    <row r="137" spans="10:10">
      <c r="J137" s="115"/>
    </row>
    <row r="138" spans="10:10">
      <c r="J138" s="115"/>
    </row>
    <row r="139" spans="10:10">
      <c r="J139" s="115"/>
    </row>
    <row r="140" spans="10:10">
      <c r="J140" s="115"/>
    </row>
    <row r="141" spans="10:10">
      <c r="J141" s="115"/>
    </row>
  </sheetData>
  <mergeCells count="3">
    <mergeCell ref="A1:K1"/>
    <mergeCell ref="B2:C2"/>
    <mergeCell ref="B49:C49"/>
  </mergeCells>
  <hyperlinks>
    <hyperlink ref="K2" location="الاليات!A1" display="الاليات " xr:uid="{00000000-0004-0000-3C00-000000000000}"/>
  </hyperlinks>
  <pageMargins left="0.7" right="0.7" top="0.75" bottom="0.75" header="0.3" footer="0.3"/>
  <pageSetup paperSize="9" scale="44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3.5546875" style="1" bestFit="1" customWidth="1"/>
    <col min="4" max="4" width="12.77734375" style="1" bestFit="1" customWidth="1"/>
    <col min="5" max="5" width="17.33203125" style="73" bestFit="1" customWidth="1"/>
    <col min="6" max="6" width="15.109375" style="114" bestFit="1" customWidth="1"/>
    <col min="7" max="7" width="7.6640625" style="79" bestFit="1" customWidth="1"/>
    <col min="8" max="8" width="13.44140625" style="1" bestFit="1" customWidth="1"/>
    <col min="9" max="9" width="10.21875" style="1" bestFit="1" customWidth="1"/>
    <col min="10" max="10" width="5.664062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58</v>
      </c>
      <c r="B2" s="202" t="s">
        <v>28</v>
      </c>
      <c r="C2" s="203"/>
      <c r="D2" s="85"/>
      <c r="E2" s="86" t="s">
        <v>8</v>
      </c>
      <c r="F2" s="87">
        <v>1985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896</v>
      </c>
      <c r="D3" s="89"/>
      <c r="E3" s="86" t="s">
        <v>68</v>
      </c>
      <c r="F3" s="140" t="s">
        <v>70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35"/>
      <c r="D4" s="89"/>
      <c r="E4" s="86"/>
      <c r="F4" s="91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4984</v>
      </c>
      <c r="D7" s="17" t="s">
        <v>302</v>
      </c>
      <c r="E7" s="18" t="s">
        <v>135</v>
      </c>
      <c r="F7" s="132">
        <v>135000</v>
      </c>
      <c r="G7" s="25">
        <v>950</v>
      </c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5122</v>
      </c>
      <c r="D8" s="17" t="s">
        <v>313</v>
      </c>
      <c r="E8" s="18" t="s">
        <v>319</v>
      </c>
      <c r="F8" s="132">
        <v>150000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5396</v>
      </c>
      <c r="D9" s="17" t="s">
        <v>339</v>
      </c>
      <c r="E9" s="18" t="s">
        <v>135</v>
      </c>
      <c r="F9" s="132"/>
      <c r="G9" s="25">
        <v>380</v>
      </c>
      <c r="H9" s="17" t="s">
        <v>75</v>
      </c>
      <c r="I9" s="17"/>
      <c r="J9" s="117"/>
      <c r="K9" s="17"/>
    </row>
    <row r="10" spans="1:11" ht="52.2">
      <c r="A10" s="17">
        <v>4</v>
      </c>
      <c r="B10" s="17"/>
      <c r="C10" s="17">
        <v>5666</v>
      </c>
      <c r="D10" s="17" t="s">
        <v>151</v>
      </c>
      <c r="E10" s="18" t="s">
        <v>484</v>
      </c>
      <c r="F10" s="132">
        <v>1105000</v>
      </c>
      <c r="G10" s="25"/>
      <c r="H10" s="17" t="s">
        <v>75</v>
      </c>
      <c r="I10" s="17"/>
      <c r="J10" s="117"/>
      <c r="K10" s="17"/>
    </row>
    <row r="11" spans="1:11" ht="52.2">
      <c r="A11" s="17">
        <v>5</v>
      </c>
      <c r="B11" s="17"/>
      <c r="C11" s="17">
        <v>5922</v>
      </c>
      <c r="D11" s="17" t="s">
        <v>391</v>
      </c>
      <c r="E11" s="18" t="s">
        <v>485</v>
      </c>
      <c r="F11" s="132">
        <v>1575000</v>
      </c>
      <c r="G11" s="25"/>
      <c r="H11" s="17" t="s">
        <v>75</v>
      </c>
      <c r="I11" s="17"/>
      <c r="J11" s="117"/>
      <c r="K11" s="17"/>
    </row>
    <row r="12" spans="1:11" ht="34.799999999999997">
      <c r="A12" s="17">
        <v>6</v>
      </c>
      <c r="B12" s="17"/>
      <c r="C12" s="17">
        <v>7071</v>
      </c>
      <c r="D12" s="130">
        <v>45560</v>
      </c>
      <c r="E12" s="18" t="s">
        <v>583</v>
      </c>
      <c r="F12" s="132">
        <v>125000</v>
      </c>
      <c r="G12" s="25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>
        <v>7348</v>
      </c>
      <c r="D13" s="130">
        <v>45619</v>
      </c>
      <c r="E13" s="18" t="s">
        <v>615</v>
      </c>
      <c r="F13" s="24">
        <v>90000</v>
      </c>
      <c r="G13" s="116"/>
      <c r="H13" s="17" t="s">
        <v>75</v>
      </c>
      <c r="I13" s="17"/>
      <c r="J13" s="117"/>
      <c r="K13" s="17"/>
    </row>
    <row r="14" spans="1:11" ht="52.2">
      <c r="A14" s="17">
        <v>8</v>
      </c>
      <c r="B14" s="17"/>
      <c r="C14" s="17">
        <v>7348</v>
      </c>
      <c r="D14" s="130">
        <v>45619</v>
      </c>
      <c r="E14" s="18" t="s">
        <v>616</v>
      </c>
      <c r="F14" s="24">
        <v>525000</v>
      </c>
      <c r="G14" s="116"/>
      <c r="H14" s="17" t="s">
        <v>75</v>
      </c>
      <c r="I14" s="17"/>
      <c r="J14" s="117"/>
      <c r="K14" s="17"/>
    </row>
    <row r="15" spans="1:11" ht="104.4">
      <c r="A15" s="17">
        <v>9</v>
      </c>
      <c r="B15" s="17"/>
      <c r="C15" s="17">
        <v>7348</v>
      </c>
      <c r="D15" s="130">
        <v>45619</v>
      </c>
      <c r="E15" s="131" t="s">
        <v>619</v>
      </c>
      <c r="F15" s="132">
        <v>1700000</v>
      </c>
      <c r="G15" s="116"/>
      <c r="H15" s="17" t="s">
        <v>75</v>
      </c>
      <c r="I15" s="17"/>
      <c r="J15" s="117"/>
      <c r="K15" s="17"/>
    </row>
    <row r="16" spans="1:11" ht="52.2">
      <c r="A16" s="17">
        <v>10</v>
      </c>
      <c r="B16" s="17"/>
      <c r="C16" s="17">
        <v>7348</v>
      </c>
      <c r="D16" s="130">
        <v>45619</v>
      </c>
      <c r="E16" s="131" t="s">
        <v>620</v>
      </c>
      <c r="F16" s="132">
        <v>950000</v>
      </c>
      <c r="G16" s="116"/>
      <c r="H16" s="17" t="s">
        <v>75</v>
      </c>
      <c r="I16" s="17"/>
      <c r="J16" s="117"/>
      <c r="K16" s="17"/>
    </row>
    <row r="17" spans="1:11" ht="34.799999999999997">
      <c r="A17" s="17">
        <v>11</v>
      </c>
      <c r="B17" s="17"/>
      <c r="C17" s="17">
        <v>7621</v>
      </c>
      <c r="D17" s="130">
        <v>45655</v>
      </c>
      <c r="E17" s="18" t="s">
        <v>666</v>
      </c>
      <c r="F17" s="132">
        <v>150000</v>
      </c>
      <c r="G17" s="25"/>
      <c r="H17" s="17" t="s">
        <v>75</v>
      </c>
      <c r="I17" s="17"/>
      <c r="J17" s="117"/>
      <c r="K17" s="17"/>
    </row>
    <row r="18" spans="1:11" ht="34.799999999999997">
      <c r="A18" s="17">
        <v>12</v>
      </c>
      <c r="B18" s="17"/>
      <c r="C18" s="17">
        <v>7621</v>
      </c>
      <c r="D18" s="130">
        <v>45655</v>
      </c>
      <c r="E18" s="18" t="s">
        <v>668</v>
      </c>
      <c r="F18" s="132">
        <v>1200000</v>
      </c>
      <c r="G18" s="25"/>
      <c r="H18" s="17" t="s">
        <v>75</v>
      </c>
      <c r="I18" s="17"/>
      <c r="J18" s="117"/>
      <c r="K18" s="17"/>
    </row>
    <row r="19" spans="1:11" ht="52.2">
      <c r="A19" s="17">
        <v>13</v>
      </c>
      <c r="B19" s="17"/>
      <c r="C19" s="98">
        <v>7658</v>
      </c>
      <c r="D19" s="135">
        <v>45662</v>
      </c>
      <c r="E19" s="99" t="s">
        <v>676</v>
      </c>
      <c r="F19" s="100">
        <v>42000</v>
      </c>
      <c r="G19" s="127"/>
      <c r="H19" s="98" t="s">
        <v>75</v>
      </c>
      <c r="I19" s="17"/>
      <c r="J19" s="117"/>
      <c r="K19" s="17"/>
    </row>
    <row r="20" spans="1:11" ht="69.599999999999994">
      <c r="A20" s="17">
        <v>14</v>
      </c>
      <c r="B20" s="17"/>
      <c r="C20" s="98">
        <v>7717</v>
      </c>
      <c r="D20" s="135">
        <v>45676</v>
      </c>
      <c r="E20" s="99" t="s">
        <v>686</v>
      </c>
      <c r="F20" s="100">
        <v>315000</v>
      </c>
      <c r="G20" s="127"/>
      <c r="H20" s="98" t="s">
        <v>75</v>
      </c>
      <c r="I20" s="17"/>
      <c r="J20" s="117"/>
      <c r="K20" s="17"/>
    </row>
    <row r="21" spans="1:11" ht="69.599999999999994">
      <c r="A21" s="17">
        <v>15</v>
      </c>
      <c r="B21" s="17"/>
      <c r="C21" s="17">
        <v>343</v>
      </c>
      <c r="D21" s="130">
        <v>45983</v>
      </c>
      <c r="E21" s="18" t="s">
        <v>1118</v>
      </c>
      <c r="F21" s="132">
        <v>1294000</v>
      </c>
      <c r="G21" s="25">
        <v>350</v>
      </c>
      <c r="H21" s="17" t="s">
        <v>75</v>
      </c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7">
        <v>41</v>
      </c>
      <c r="B47" s="17"/>
      <c r="C47" s="17"/>
      <c r="D47" s="17"/>
      <c r="E47" s="18"/>
      <c r="F47" s="132"/>
      <c r="G47" s="25"/>
      <c r="H47" s="17"/>
      <c r="I47" s="17"/>
      <c r="J47" s="117"/>
      <c r="K47" s="17"/>
    </row>
    <row r="48" spans="1:11">
      <c r="A48" s="17">
        <v>42</v>
      </c>
      <c r="B48" s="17"/>
      <c r="C48" s="17"/>
      <c r="D48" s="17"/>
      <c r="E48" s="18"/>
      <c r="F48" s="132"/>
      <c r="G48" s="25"/>
      <c r="H48" s="17"/>
      <c r="I48" s="17"/>
      <c r="J48" s="117"/>
      <c r="K48" s="17"/>
    </row>
    <row r="49" spans="1:11">
      <c r="A49" s="17">
        <v>43</v>
      </c>
      <c r="B49" s="17"/>
      <c r="C49" s="17"/>
      <c r="D49" s="17"/>
      <c r="E49" s="18"/>
      <c r="F49" s="132"/>
      <c r="G49" s="25"/>
      <c r="H49" s="17"/>
      <c r="I49" s="17"/>
      <c r="J49" s="117"/>
      <c r="K49" s="17"/>
    </row>
    <row r="50" spans="1:11">
      <c r="A50" s="17">
        <v>44</v>
      </c>
      <c r="B50" s="17"/>
      <c r="C50" s="17"/>
      <c r="D50" s="17"/>
      <c r="E50" s="18"/>
      <c r="F50" s="132"/>
      <c r="G50" s="25"/>
      <c r="H50" s="17"/>
      <c r="I50" s="17"/>
      <c r="J50" s="117"/>
      <c r="K50" s="17"/>
    </row>
    <row r="51" spans="1:11">
      <c r="A51" s="17">
        <v>45</v>
      </c>
      <c r="B51" s="17"/>
      <c r="C51" s="17"/>
      <c r="D51" s="17"/>
      <c r="E51" s="18"/>
      <c r="F51" s="132"/>
      <c r="G51" s="25"/>
      <c r="H51" s="17"/>
      <c r="I51" s="17"/>
      <c r="J51" s="117"/>
      <c r="K51" s="17"/>
    </row>
    <row r="52" spans="1:11">
      <c r="A52" s="17">
        <v>46</v>
      </c>
      <c r="B52" s="17"/>
      <c r="C52" s="17"/>
      <c r="D52" s="17"/>
      <c r="E52" s="18"/>
      <c r="F52" s="132"/>
      <c r="G52" s="25"/>
      <c r="H52" s="17"/>
      <c r="I52" s="17"/>
      <c r="J52" s="117"/>
      <c r="K52" s="17"/>
    </row>
    <row r="53" spans="1:11">
      <c r="A53" s="17">
        <v>47</v>
      </c>
      <c r="B53" s="17"/>
      <c r="C53" s="17"/>
      <c r="D53" s="17"/>
      <c r="E53" s="18"/>
      <c r="F53" s="132"/>
      <c r="G53" s="25"/>
      <c r="H53" s="17"/>
      <c r="I53" s="17"/>
      <c r="J53" s="117"/>
      <c r="K53" s="17"/>
    </row>
    <row r="54" spans="1:11">
      <c r="A54" s="17">
        <v>48</v>
      </c>
      <c r="B54" s="17"/>
      <c r="C54" s="17"/>
      <c r="D54" s="17"/>
      <c r="E54" s="18"/>
      <c r="F54" s="132"/>
      <c r="G54" s="25"/>
      <c r="H54" s="17"/>
      <c r="I54" s="17"/>
      <c r="J54" s="117"/>
      <c r="K54" s="17"/>
    </row>
    <row r="55" spans="1:11">
      <c r="A55" s="17">
        <v>49</v>
      </c>
      <c r="B55" s="17"/>
      <c r="C55" s="17"/>
      <c r="D55" s="17"/>
      <c r="E55" s="18"/>
      <c r="F55" s="132"/>
      <c r="G55" s="25"/>
      <c r="H55" s="17"/>
      <c r="I55" s="17"/>
      <c r="J55" s="117"/>
      <c r="K55" s="17"/>
    </row>
    <row r="56" spans="1:11">
      <c r="A56" s="17">
        <v>50</v>
      </c>
      <c r="B56" s="17"/>
      <c r="C56" s="17"/>
      <c r="D56" s="17"/>
      <c r="E56" s="18"/>
      <c r="F56" s="132"/>
      <c r="G56" s="25"/>
      <c r="H56" s="17"/>
      <c r="I56" s="17"/>
      <c r="J56" s="117"/>
      <c r="K56" s="17"/>
    </row>
    <row r="57" spans="1:11">
      <c r="A57" s="17">
        <v>51</v>
      </c>
      <c r="B57" s="17"/>
      <c r="C57" s="17"/>
      <c r="D57" s="17"/>
      <c r="E57" s="18"/>
      <c r="F57" s="132"/>
      <c r="G57" s="25"/>
      <c r="H57" s="17"/>
      <c r="I57" s="17"/>
      <c r="J57" s="117"/>
      <c r="K57" s="17"/>
    </row>
    <row r="58" spans="1:11">
      <c r="A58" s="17">
        <v>52</v>
      </c>
      <c r="B58" s="17"/>
      <c r="C58" s="17"/>
      <c r="D58" s="17"/>
      <c r="E58" s="18"/>
      <c r="F58" s="132"/>
      <c r="G58" s="25"/>
      <c r="H58" s="17"/>
      <c r="I58" s="17"/>
      <c r="J58" s="117"/>
      <c r="K58" s="17"/>
    </row>
    <row r="59" spans="1:11">
      <c r="A59" s="17">
        <v>53</v>
      </c>
      <c r="B59" s="17"/>
      <c r="C59" s="17"/>
      <c r="D59" s="17"/>
      <c r="E59" s="18"/>
      <c r="F59" s="132"/>
      <c r="G59" s="25"/>
      <c r="H59" s="17"/>
      <c r="I59" s="17"/>
      <c r="J59" s="117"/>
      <c r="K59" s="17"/>
    </row>
    <row r="60" spans="1:11">
      <c r="A60" s="108"/>
      <c r="B60" s="204" t="s">
        <v>98</v>
      </c>
      <c r="C60" s="204"/>
      <c r="D60" s="108"/>
      <c r="E60" s="118"/>
      <c r="F60" s="119">
        <f>SUM(F7:F59)</f>
        <v>9356000</v>
      </c>
      <c r="G60" s="120">
        <f>SUM(G7:G59)</f>
        <v>1680</v>
      </c>
      <c r="H60" s="108"/>
      <c r="I60" s="108"/>
      <c r="J60" s="121"/>
      <c r="K60" s="108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60:C60"/>
  </mergeCells>
  <hyperlinks>
    <hyperlink ref="K2" location="الاليات!A1" display="الاليات " xr:uid="{00000000-0004-0000-3D00-000000000000}"/>
  </hyperlinks>
  <pageMargins left="0.7" right="0.7" top="0.75" bottom="0.75" header="0.3" footer="0.3"/>
  <pageSetup paperSize="9" scale="32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92D050"/>
  </sheetPr>
  <dimension ref="A1:K36"/>
  <sheetViews>
    <sheetView rightToLeft="1" workbookViewId="0">
      <selection activeCell="B8" sqref="B8"/>
    </sheetView>
  </sheetViews>
  <sheetFormatPr defaultRowHeight="17.399999999999999"/>
  <cols>
    <col min="1" max="1" width="2.21875" style="149" bestFit="1" customWidth="1"/>
    <col min="2" max="2" width="8.6640625" style="149" bestFit="1" customWidth="1"/>
    <col min="3" max="3" width="15.33203125" style="149" bestFit="1" customWidth="1"/>
    <col min="4" max="4" width="4.5546875" style="149" bestFit="1" customWidth="1"/>
    <col min="5" max="5" width="8" style="149" bestFit="1" customWidth="1"/>
    <col min="6" max="6" width="11.109375" style="149" bestFit="1" customWidth="1"/>
    <col min="7" max="7" width="6.109375" style="149" bestFit="1" customWidth="1"/>
    <col min="8" max="8" width="13.44140625" style="149" bestFit="1" customWidth="1"/>
    <col min="9" max="9" width="13.88671875" style="149" bestFit="1" customWidth="1"/>
    <col min="10" max="10" width="6.6640625" style="149" bestFit="1" customWidth="1"/>
    <col min="11" max="11" width="16.88671875" style="149" bestFit="1" customWidth="1"/>
    <col min="12" max="16384" width="8.88671875" style="149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3</v>
      </c>
      <c r="B2" s="202" t="s">
        <v>990</v>
      </c>
      <c r="C2" s="203"/>
      <c r="D2" s="85"/>
      <c r="E2" s="86" t="s">
        <v>8</v>
      </c>
      <c r="F2" s="87">
        <v>2012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991</v>
      </c>
      <c r="D3" s="89"/>
      <c r="E3" s="86" t="s">
        <v>68</v>
      </c>
      <c r="F3" s="140" t="s">
        <v>850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 ht="34.799999999999997">
      <c r="A5" s="35"/>
      <c r="B5" s="17" t="s">
        <v>855</v>
      </c>
      <c r="C5" s="178"/>
      <c r="D5" s="1"/>
      <c r="E5" s="86" t="s">
        <v>95</v>
      </c>
      <c r="F5" s="166"/>
      <c r="G5" s="81"/>
      <c r="H5" s="81" t="s">
        <v>96</v>
      </c>
      <c r="I5" s="117">
        <f>MAX(J7:J141)</f>
        <v>0</v>
      </c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/>
      <c r="B7" s="98"/>
      <c r="C7" s="98"/>
      <c r="D7" s="135"/>
      <c r="E7" s="99"/>
      <c r="F7" s="100"/>
      <c r="G7" s="101"/>
      <c r="H7" s="98"/>
      <c r="I7" s="98"/>
      <c r="J7" s="102"/>
      <c r="K7" s="17"/>
    </row>
    <row r="8" spans="1:11">
      <c r="A8" s="98"/>
      <c r="B8" s="98"/>
      <c r="C8" s="98"/>
      <c r="D8" s="135"/>
      <c r="E8" s="99"/>
      <c r="F8" s="100"/>
      <c r="G8" s="101"/>
      <c r="H8" s="98"/>
      <c r="I8" s="98"/>
      <c r="J8" s="102"/>
      <c r="K8" s="17"/>
    </row>
    <row r="9" spans="1:11">
      <c r="A9" s="98"/>
      <c r="B9" s="98"/>
      <c r="C9" s="98"/>
      <c r="D9" s="98"/>
      <c r="E9" s="99"/>
      <c r="F9" s="100"/>
      <c r="G9" s="101"/>
      <c r="H9" s="98"/>
      <c r="I9" s="98"/>
      <c r="J9" s="102"/>
      <c r="K9" s="17"/>
    </row>
    <row r="10" spans="1:11">
      <c r="A10" s="98"/>
      <c r="B10" s="98"/>
      <c r="C10" s="98"/>
      <c r="D10" s="135"/>
      <c r="E10" s="99"/>
      <c r="F10" s="100"/>
      <c r="G10" s="101"/>
      <c r="H10" s="98"/>
      <c r="I10" s="98"/>
      <c r="J10" s="102"/>
      <c r="K10" s="17"/>
    </row>
    <row r="11" spans="1:11">
      <c r="A11" s="98"/>
      <c r="B11" s="98"/>
      <c r="C11" s="98"/>
      <c r="D11" s="135"/>
      <c r="E11" s="99"/>
      <c r="F11" s="100"/>
      <c r="G11" s="101"/>
      <c r="H11" s="98"/>
      <c r="I11" s="98"/>
      <c r="J11" s="102"/>
      <c r="K11" s="17"/>
    </row>
    <row r="12" spans="1:11">
      <c r="A12" s="98"/>
      <c r="B12" s="98"/>
      <c r="C12" s="98"/>
      <c r="D12" s="135"/>
      <c r="E12" s="99"/>
      <c r="F12" s="100"/>
      <c r="G12" s="101"/>
      <c r="H12" s="98"/>
      <c r="I12" s="98"/>
      <c r="J12" s="102"/>
      <c r="K12" s="17"/>
    </row>
    <row r="13" spans="1:11">
      <c r="A13" s="98"/>
      <c r="B13" s="98"/>
      <c r="C13" s="98"/>
      <c r="D13" s="135"/>
      <c r="E13" s="99"/>
      <c r="F13" s="100"/>
      <c r="G13" s="101"/>
      <c r="H13" s="98"/>
      <c r="I13" s="98"/>
      <c r="J13" s="102"/>
      <c r="K13" s="17"/>
    </row>
    <row r="14" spans="1:11">
      <c r="A14" s="98"/>
      <c r="B14" s="98"/>
      <c r="C14" s="98"/>
      <c r="D14" s="98"/>
      <c r="E14" s="99"/>
      <c r="F14" s="100"/>
      <c r="G14" s="101"/>
      <c r="H14" s="98"/>
      <c r="I14" s="98"/>
      <c r="J14" s="102"/>
      <c r="K14" s="17"/>
    </row>
    <row r="15" spans="1:11">
      <c r="A15" s="98"/>
      <c r="B15" s="98"/>
      <c r="C15" s="98"/>
      <c r="D15" s="98"/>
      <c r="E15" s="99"/>
      <c r="F15" s="100"/>
      <c r="G15" s="101"/>
      <c r="H15" s="98"/>
      <c r="I15" s="98"/>
      <c r="J15" s="102"/>
      <c r="K15" s="17"/>
    </row>
    <row r="16" spans="1:11">
      <c r="A16" s="98"/>
      <c r="B16" s="98"/>
      <c r="C16" s="98"/>
      <c r="D16" s="135"/>
      <c r="E16" s="99"/>
      <c r="F16" s="100"/>
      <c r="G16" s="101"/>
      <c r="H16" s="98"/>
      <c r="I16" s="98"/>
      <c r="J16" s="102"/>
      <c r="K16" s="17"/>
    </row>
    <row r="17" spans="1:11">
      <c r="A17" s="98"/>
      <c r="B17" s="98"/>
      <c r="C17" s="98"/>
      <c r="D17" s="135"/>
      <c r="E17" s="99"/>
      <c r="F17" s="100"/>
      <c r="G17" s="101"/>
      <c r="H17" s="98"/>
      <c r="I17" s="98"/>
      <c r="J17" s="102"/>
      <c r="K17" s="17"/>
    </row>
    <row r="18" spans="1:11">
      <c r="A18" s="98"/>
      <c r="B18" s="98"/>
      <c r="C18" s="98"/>
      <c r="D18" s="135"/>
      <c r="E18" s="99"/>
      <c r="F18" s="100"/>
      <c r="G18" s="101"/>
      <c r="H18" s="98"/>
      <c r="I18" s="98"/>
      <c r="J18" s="102"/>
      <c r="K18" s="17"/>
    </row>
    <row r="19" spans="1:11">
      <c r="A19" s="98"/>
      <c r="B19" s="98"/>
      <c r="C19" s="98"/>
      <c r="D19" s="135"/>
      <c r="E19" s="99"/>
      <c r="F19" s="100"/>
      <c r="G19" s="101"/>
      <c r="H19" s="98"/>
      <c r="I19" s="98"/>
      <c r="J19" s="102"/>
      <c r="K19" s="17"/>
    </row>
    <row r="20" spans="1:11">
      <c r="A20" s="98"/>
      <c r="B20" s="98"/>
      <c r="C20" s="98"/>
      <c r="D20" s="135"/>
      <c r="E20" s="99"/>
      <c r="F20" s="100"/>
      <c r="G20" s="101"/>
      <c r="H20" s="98"/>
      <c r="I20" s="98"/>
      <c r="J20" s="102"/>
      <c r="K20" s="17"/>
    </row>
    <row r="21" spans="1:11">
      <c r="A21" s="98"/>
      <c r="B21" s="98"/>
      <c r="C21" s="98"/>
      <c r="D21" s="135"/>
      <c r="E21" s="99"/>
      <c r="F21" s="100"/>
      <c r="G21" s="101"/>
      <c r="H21" s="98"/>
      <c r="I21" s="98"/>
      <c r="J21" s="102"/>
      <c r="K21" s="17"/>
    </row>
    <row r="22" spans="1:11">
      <c r="A22" s="98"/>
      <c r="B22" s="98"/>
      <c r="C22" s="98"/>
      <c r="D22" s="135"/>
      <c r="E22" s="99"/>
      <c r="F22" s="100"/>
      <c r="G22" s="101"/>
      <c r="H22" s="98"/>
      <c r="I22" s="98"/>
      <c r="J22" s="102"/>
      <c r="K22" s="17"/>
    </row>
    <row r="23" spans="1:11">
      <c r="A23" s="98"/>
      <c r="B23" s="98"/>
      <c r="C23" s="98"/>
      <c r="D23" s="135"/>
      <c r="E23" s="99"/>
      <c r="F23" s="100"/>
      <c r="G23" s="101"/>
      <c r="H23" s="98"/>
      <c r="I23" s="98"/>
      <c r="J23" s="102"/>
      <c r="K23" s="17"/>
    </row>
    <row r="24" spans="1:11">
      <c r="A24" s="98"/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/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/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/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/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/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/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/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/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/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/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103"/>
      <c r="B35" s="206" t="s">
        <v>98</v>
      </c>
      <c r="C35" s="206"/>
      <c r="D35" s="103"/>
      <c r="E35" s="104"/>
      <c r="F35" s="105">
        <f>SUM(F7:F34)</f>
        <v>0</v>
      </c>
      <c r="G35" s="106">
        <f>SUM(G7:G34)</f>
        <v>0</v>
      </c>
      <c r="H35" s="103"/>
      <c r="I35" s="103"/>
      <c r="J35" s="107"/>
      <c r="K35" s="108"/>
    </row>
    <row r="36" spans="1:11">
      <c r="A36" s="109">
        <f ca="1">A36:K54</f>
        <v>0</v>
      </c>
      <c r="B36" s="109"/>
      <c r="C36" s="109"/>
      <c r="D36" s="109"/>
      <c r="E36" s="110"/>
      <c r="F36" s="111"/>
      <c r="G36" s="112"/>
      <c r="H36" s="109"/>
      <c r="I36" s="109"/>
      <c r="J36" s="113"/>
      <c r="K36" s="1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3E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0000"/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2.77734375" style="1" bestFit="1" customWidth="1"/>
    <col min="4" max="4" width="4.5546875" style="1" bestFit="1" customWidth="1"/>
    <col min="5" max="5" width="11" style="73" bestFit="1" customWidth="1"/>
    <col min="6" max="6" width="10.554687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59</v>
      </c>
      <c r="B2" s="202" t="s">
        <v>903</v>
      </c>
      <c r="C2" s="203"/>
      <c r="D2" s="85"/>
      <c r="E2" s="86" t="s">
        <v>8</v>
      </c>
      <c r="F2" s="17">
        <v>2010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898</v>
      </c>
      <c r="D3" s="89"/>
      <c r="E3" s="86" t="s">
        <v>68</v>
      </c>
      <c r="F3" s="17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/>
      <c r="D7" s="17"/>
      <c r="E7" s="18"/>
      <c r="F7" s="24"/>
      <c r="G7" s="116"/>
      <c r="H7" s="17"/>
      <c r="I7" s="17"/>
      <c r="J7" s="117"/>
      <c r="K7" s="17"/>
    </row>
    <row r="8" spans="1:11">
      <c r="A8" s="17">
        <v>2</v>
      </c>
      <c r="B8" s="17"/>
      <c r="C8" s="17"/>
      <c r="D8" s="17"/>
      <c r="E8" s="18"/>
      <c r="F8" s="24"/>
      <c r="G8" s="116"/>
      <c r="H8" s="17"/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24"/>
      <c r="G9" s="116"/>
      <c r="H9" s="17"/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24"/>
      <c r="G10" s="116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24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3F00-000000000000}"/>
  </hyperlinks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5.6640625" style="1" bestFit="1" customWidth="1"/>
    <col min="4" max="4" width="12.77734375" style="1" bestFit="1" customWidth="1"/>
    <col min="5" max="5" width="17.88671875" style="73" bestFit="1" customWidth="1"/>
    <col min="6" max="6" width="15.109375" style="78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60</v>
      </c>
      <c r="B2" s="202" t="s">
        <v>23</v>
      </c>
      <c r="C2" s="203"/>
      <c r="D2" s="85"/>
      <c r="E2" s="86" t="s">
        <v>8</v>
      </c>
      <c r="F2" s="81">
        <v>1998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905</v>
      </c>
      <c r="D3" s="89"/>
      <c r="E3" s="86" t="s">
        <v>68</v>
      </c>
      <c r="F3" s="89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5488</v>
      </c>
      <c r="D7" s="17" t="s">
        <v>341</v>
      </c>
      <c r="E7" s="18" t="s">
        <v>135</v>
      </c>
      <c r="F7" s="132">
        <v>514000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5596</v>
      </c>
      <c r="D8" s="130">
        <v>45117</v>
      </c>
      <c r="E8" s="18" t="s">
        <v>135</v>
      </c>
      <c r="F8" s="132">
        <v>1360000</v>
      </c>
      <c r="G8" s="25"/>
      <c r="H8" s="17" t="s">
        <v>75</v>
      </c>
      <c r="I8" s="17"/>
      <c r="J8" s="117"/>
      <c r="K8" s="17"/>
    </row>
    <row r="9" spans="1:11" ht="52.2">
      <c r="A9" s="17">
        <v>3</v>
      </c>
      <c r="B9" s="17"/>
      <c r="C9" s="17">
        <v>6381</v>
      </c>
      <c r="D9" s="17" t="s">
        <v>501</v>
      </c>
      <c r="E9" s="18" t="s">
        <v>504</v>
      </c>
      <c r="F9" s="132">
        <v>1385000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9920</v>
      </c>
      <c r="D10" s="130">
        <v>45931</v>
      </c>
      <c r="E10" s="18" t="s">
        <v>1053</v>
      </c>
      <c r="F10" s="132">
        <v>90000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303</v>
      </c>
      <c r="D11" s="130">
        <v>45977</v>
      </c>
      <c r="E11" s="18" t="s">
        <v>1094</v>
      </c>
      <c r="F11" s="132">
        <v>130000</v>
      </c>
      <c r="G11" s="25"/>
      <c r="H11" s="117" t="s">
        <v>75</v>
      </c>
      <c r="I11" s="17"/>
      <c r="J11" s="117"/>
      <c r="K11" s="17"/>
    </row>
    <row r="12" spans="1:11" ht="34.799999999999997">
      <c r="A12" s="17">
        <v>6</v>
      </c>
      <c r="B12" s="17"/>
      <c r="C12" s="17">
        <v>343</v>
      </c>
      <c r="D12" s="130">
        <v>45983</v>
      </c>
      <c r="E12" s="18" t="s">
        <v>1108</v>
      </c>
      <c r="F12" s="132">
        <v>175000</v>
      </c>
      <c r="G12" s="25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98">
        <v>559</v>
      </c>
      <c r="D13" s="135">
        <v>46011</v>
      </c>
      <c r="E13" s="99" t="s">
        <v>1126</v>
      </c>
      <c r="F13" s="100">
        <v>20000</v>
      </c>
      <c r="G13" s="101"/>
      <c r="H13" s="98" t="s">
        <v>75</v>
      </c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08"/>
      <c r="B30" s="204" t="s">
        <v>98</v>
      </c>
      <c r="C30" s="204"/>
      <c r="D30" s="108"/>
      <c r="E30" s="118"/>
      <c r="F30" s="119">
        <f>SUM(F7:F29)</f>
        <v>3674000</v>
      </c>
      <c r="G30" s="120">
        <f>SUM(G7:G29)</f>
        <v>0</v>
      </c>
      <c r="H30" s="108"/>
      <c r="I30" s="108"/>
      <c r="J30" s="121"/>
      <c r="K30" s="108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0:C30"/>
  </mergeCells>
  <hyperlinks>
    <hyperlink ref="K2" location="الاليات!A1" display="الاليات " xr:uid="{00000000-0004-0000-4000-000000000000}"/>
  </hyperlinks>
  <pageMargins left="0.7" right="0.7" top="0.75" bottom="0.75" header="0.3" footer="0.3"/>
  <pageSetup paperSize="9" scale="78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6640625" style="1" bestFit="1" customWidth="1"/>
    <col min="4" max="4" width="12.77734375" style="1" bestFit="1" customWidth="1"/>
    <col min="5" max="5" width="255.77734375" style="73" bestFit="1" customWidth="1"/>
    <col min="6" max="6" width="16.33203125" style="78" bestFit="1" customWidth="1"/>
    <col min="7" max="7" width="6.21875" style="79" bestFit="1" customWidth="1"/>
    <col min="8" max="8" width="13.44140625" style="1" bestFit="1" customWidth="1"/>
    <col min="9" max="9" width="10.5546875" style="1" bestFit="1" customWidth="1"/>
    <col min="10" max="10" width="4.218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61</v>
      </c>
      <c r="B2" s="202" t="s">
        <v>24</v>
      </c>
      <c r="C2" s="203"/>
      <c r="D2" s="85"/>
      <c r="E2" s="86" t="s">
        <v>8</v>
      </c>
      <c r="F2" s="17">
        <v>1998</v>
      </c>
      <c r="G2" s="88"/>
      <c r="H2" s="89" t="s">
        <v>100</v>
      </c>
      <c r="I2" s="35"/>
      <c r="J2" s="81"/>
      <c r="K2" s="90" t="s">
        <v>102</v>
      </c>
    </row>
    <row r="3" spans="1:11">
      <c r="A3" s="35"/>
      <c r="B3" s="89" t="s">
        <v>99</v>
      </c>
      <c r="C3" s="123" t="s">
        <v>906</v>
      </c>
      <c r="D3" s="89"/>
      <c r="E3" s="86" t="s">
        <v>68</v>
      </c>
      <c r="F3" s="17" t="s">
        <v>72</v>
      </c>
      <c r="G3" s="88"/>
      <c r="H3" s="89" t="s">
        <v>824</v>
      </c>
      <c r="I3" s="35"/>
      <c r="J3" s="81"/>
      <c r="K3" s="81"/>
    </row>
    <row r="4" spans="1:11">
      <c r="A4" s="35"/>
      <c r="B4" s="89"/>
      <c r="C4" s="35"/>
      <c r="D4" s="89"/>
      <c r="E4" s="86"/>
      <c r="F4" s="89"/>
      <c r="G4" s="92"/>
      <c r="H4" s="81"/>
      <c r="I4" s="17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37"/>
      <c r="G5" s="92"/>
      <c r="H5" s="81"/>
      <c r="I5" s="117"/>
      <c r="J5" s="81"/>
      <c r="K5" s="17"/>
    </row>
    <row r="6" spans="1:11" s="73" customFormat="1" ht="69.599999999999994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5488</v>
      </c>
      <c r="D7" s="17" t="s">
        <v>341</v>
      </c>
      <c r="E7" s="18" t="s">
        <v>135</v>
      </c>
      <c r="F7" s="132">
        <v>1230000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5666</v>
      </c>
      <c r="D8" s="17" t="s">
        <v>151</v>
      </c>
      <c r="E8" s="18" t="s">
        <v>145</v>
      </c>
      <c r="F8" s="132">
        <v>350000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98">
        <v>9539</v>
      </c>
      <c r="D9" s="135">
        <v>45890</v>
      </c>
      <c r="E9" s="99" t="s">
        <v>1013</v>
      </c>
      <c r="F9" s="100">
        <v>975000</v>
      </c>
      <c r="G9" s="101"/>
      <c r="H9" s="102" t="s">
        <v>75</v>
      </c>
      <c r="I9" s="17"/>
      <c r="J9" s="117"/>
      <c r="K9" s="17"/>
    </row>
    <row r="10" spans="1:11" ht="42.75" customHeight="1">
      <c r="A10" s="17">
        <v>4</v>
      </c>
      <c r="B10" s="17"/>
      <c r="C10" s="18">
        <v>9539</v>
      </c>
      <c r="D10" s="133">
        <v>45890</v>
      </c>
      <c r="E10" s="18" t="s">
        <v>1012</v>
      </c>
      <c r="F10" s="134">
        <v>7805000</v>
      </c>
      <c r="G10" s="116"/>
      <c r="H10" s="17" t="s">
        <v>75</v>
      </c>
      <c r="I10" s="17"/>
      <c r="J10" s="117"/>
      <c r="K10" s="17"/>
    </row>
    <row r="11" spans="1:11" ht="25.5" customHeight="1">
      <c r="A11" s="17">
        <v>5</v>
      </c>
      <c r="B11" s="17"/>
      <c r="C11" s="98">
        <v>9539</v>
      </c>
      <c r="D11" s="135">
        <v>45890</v>
      </c>
      <c r="E11" s="18" t="s">
        <v>1018</v>
      </c>
      <c r="F11" s="24">
        <v>1200000</v>
      </c>
      <c r="G11" s="116"/>
      <c r="H11" s="102" t="s">
        <v>75</v>
      </c>
      <c r="I11" s="17"/>
      <c r="J11" s="117"/>
      <c r="K11" s="17"/>
    </row>
    <row r="12" spans="1:11" ht="24.75" customHeight="1">
      <c r="A12" s="17">
        <v>6</v>
      </c>
      <c r="B12" s="17"/>
      <c r="C12" s="17">
        <v>9638</v>
      </c>
      <c r="D12" s="130">
        <v>45900</v>
      </c>
      <c r="E12" s="18" t="s">
        <v>1024</v>
      </c>
      <c r="F12" s="132">
        <v>5079000</v>
      </c>
      <c r="G12" s="116"/>
      <c r="H12" s="17" t="s">
        <v>75</v>
      </c>
      <c r="I12" s="17"/>
      <c r="J12" s="117"/>
      <c r="K12" s="17"/>
    </row>
    <row r="13" spans="1:11" ht="24" customHeight="1">
      <c r="A13" s="17">
        <v>7</v>
      </c>
      <c r="B13" s="17"/>
      <c r="C13" s="98">
        <v>9738</v>
      </c>
      <c r="D13" s="135">
        <v>45913</v>
      </c>
      <c r="E13" s="99" t="s">
        <v>1046</v>
      </c>
      <c r="F13" s="100">
        <v>4976000</v>
      </c>
      <c r="G13" s="101"/>
      <c r="H13" s="98" t="s">
        <v>75</v>
      </c>
      <c r="I13" s="17"/>
      <c r="J13" s="117"/>
      <c r="K13" s="17"/>
    </row>
    <row r="14" spans="1:11">
      <c r="A14" s="17">
        <v>8</v>
      </c>
      <c r="B14" s="17"/>
      <c r="C14" s="17">
        <v>9920</v>
      </c>
      <c r="D14" s="130">
        <v>45931</v>
      </c>
      <c r="E14" s="18" t="s">
        <v>1056</v>
      </c>
      <c r="F14" s="132">
        <v>410000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7">
        <v>101</v>
      </c>
      <c r="D15" s="130" t="s">
        <v>1062</v>
      </c>
      <c r="E15" s="18" t="s">
        <v>1063</v>
      </c>
      <c r="F15" s="132">
        <v>2150000</v>
      </c>
      <c r="G15" s="25"/>
      <c r="H15" s="17" t="s">
        <v>75</v>
      </c>
      <c r="I15" s="17"/>
      <c r="J15" s="117"/>
      <c r="K15" s="17"/>
    </row>
    <row r="16" spans="1:11">
      <c r="A16" s="17">
        <v>10</v>
      </c>
      <c r="B16" s="17"/>
      <c r="C16" s="17">
        <v>343</v>
      </c>
      <c r="D16" s="130">
        <v>45983</v>
      </c>
      <c r="E16" s="18" t="s">
        <v>1114</v>
      </c>
      <c r="F16" s="132">
        <v>1695000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1158</v>
      </c>
      <c r="D17" s="17" t="s">
        <v>1241</v>
      </c>
      <c r="E17" s="18" t="s">
        <v>591</v>
      </c>
      <c r="F17" s="132">
        <v>350000</v>
      </c>
      <c r="G17" s="116"/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08"/>
      <c r="B32" s="204" t="s">
        <v>98</v>
      </c>
      <c r="C32" s="204"/>
      <c r="D32" s="108"/>
      <c r="E32" s="118"/>
      <c r="F32" s="119">
        <f>SUM(F7:F31)</f>
        <v>26220000</v>
      </c>
      <c r="G32" s="120">
        <f>SUM(G7:G31)</f>
        <v>0</v>
      </c>
      <c r="H32" s="108"/>
      <c r="I32" s="108"/>
      <c r="J32" s="121"/>
      <c r="K32" s="108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2:C32"/>
  </mergeCells>
  <hyperlinks>
    <hyperlink ref="K2" location="الاليات!A1" display="الاليات " xr:uid="{00000000-0004-0000-4100-000000000000}"/>
  </hyperlinks>
  <pageMargins left="0.7" right="0.7" top="0.75" bottom="0.75" header="0.3" footer="0.3"/>
  <pageSetup paperSize="9" scale="35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4" width="12.77734375" style="1" bestFit="1" customWidth="1"/>
    <col min="5" max="5" width="70" style="73" bestFit="1" customWidth="1"/>
    <col min="6" max="6" width="16.33203125" style="78" bestFit="1" customWidth="1"/>
    <col min="7" max="7" width="6.109375" style="122" bestFit="1" customWidth="1"/>
    <col min="8" max="8" width="13.44140625" style="1" bestFit="1" customWidth="1"/>
    <col min="9" max="9" width="13.88671875" style="1" bestFit="1" customWidth="1"/>
    <col min="10" max="10" width="6.6640625" style="1" bestFit="1" customWidth="1"/>
    <col min="11" max="11" width="14.664062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62</v>
      </c>
      <c r="B2" s="202" t="s">
        <v>181</v>
      </c>
      <c r="C2" s="203"/>
      <c r="D2" s="85"/>
      <c r="E2" s="86" t="s">
        <v>8</v>
      </c>
      <c r="F2" s="17"/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902</v>
      </c>
      <c r="D3" s="89"/>
      <c r="E3" s="86" t="s">
        <v>68</v>
      </c>
      <c r="F3" s="89" t="s">
        <v>465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37"/>
      <c r="G5" s="81"/>
      <c r="H5" s="81"/>
      <c r="I5" s="117"/>
      <c r="J5" s="81"/>
      <c r="K5" s="17"/>
    </row>
    <row r="6" spans="1:11" ht="34.799999999999997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69.599999999999994">
      <c r="A7" s="17">
        <v>1</v>
      </c>
      <c r="B7" s="18"/>
      <c r="C7" s="18">
        <v>9203</v>
      </c>
      <c r="D7" s="133">
        <v>45848</v>
      </c>
      <c r="E7" s="18" t="s">
        <v>907</v>
      </c>
      <c r="F7" s="134">
        <v>8758000</v>
      </c>
      <c r="G7" s="116"/>
      <c r="H7" s="17" t="s">
        <v>75</v>
      </c>
      <c r="I7" s="17"/>
      <c r="J7" s="117"/>
      <c r="K7" s="17"/>
    </row>
    <row r="8" spans="1:11" ht="34.799999999999997">
      <c r="A8" s="17">
        <v>2</v>
      </c>
      <c r="B8" s="143"/>
      <c r="C8" s="17">
        <v>9434</v>
      </c>
      <c r="D8" s="130">
        <v>45874</v>
      </c>
      <c r="E8" s="18" t="s">
        <v>1002</v>
      </c>
      <c r="F8" s="24">
        <v>6397000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43"/>
      <c r="C9" s="98">
        <v>9539</v>
      </c>
      <c r="D9" s="135">
        <v>45890</v>
      </c>
      <c r="E9" s="99" t="s">
        <v>1011</v>
      </c>
      <c r="F9" s="100">
        <v>1005000</v>
      </c>
      <c r="G9" s="101"/>
      <c r="H9" s="102" t="s">
        <v>75</v>
      </c>
      <c r="I9" s="17"/>
      <c r="J9" s="117"/>
      <c r="K9" s="17"/>
    </row>
    <row r="10" spans="1:11">
      <c r="A10" s="17">
        <v>4</v>
      </c>
      <c r="B10" s="143"/>
      <c r="C10" s="143">
        <v>9539</v>
      </c>
      <c r="D10" s="144">
        <v>45890</v>
      </c>
      <c r="E10" s="143" t="s">
        <v>1008</v>
      </c>
      <c r="F10" s="145">
        <v>675000</v>
      </c>
      <c r="G10" s="116"/>
      <c r="H10" s="17" t="s">
        <v>75</v>
      </c>
      <c r="I10" s="17"/>
      <c r="J10" s="117"/>
      <c r="K10" s="17"/>
    </row>
    <row r="11" spans="1:11" ht="42.75" customHeight="1">
      <c r="A11" s="17">
        <v>5</v>
      </c>
      <c r="B11" s="143"/>
      <c r="C11" s="98">
        <v>9539</v>
      </c>
      <c r="D11" s="135">
        <v>45890</v>
      </c>
      <c r="E11" s="99" t="s">
        <v>1016</v>
      </c>
      <c r="F11" s="100">
        <v>8927000</v>
      </c>
      <c r="G11" s="101"/>
      <c r="H11" s="102" t="s">
        <v>75</v>
      </c>
      <c r="I11" s="17"/>
      <c r="J11" s="117"/>
      <c r="K11" s="17"/>
    </row>
    <row r="12" spans="1:11">
      <c r="A12" s="17">
        <v>6</v>
      </c>
      <c r="B12" s="17"/>
      <c r="C12" s="98">
        <v>9539</v>
      </c>
      <c r="D12" s="135">
        <v>45890</v>
      </c>
      <c r="E12" s="18" t="s">
        <v>1017</v>
      </c>
      <c r="F12" s="24">
        <v>275000</v>
      </c>
      <c r="G12" s="116"/>
      <c r="H12" s="102" t="s">
        <v>75</v>
      </c>
      <c r="I12" s="17"/>
      <c r="J12" s="117"/>
      <c r="K12" s="17"/>
    </row>
    <row r="13" spans="1:11">
      <c r="A13" s="17">
        <v>7</v>
      </c>
      <c r="B13" s="17"/>
      <c r="C13" s="17">
        <v>9920</v>
      </c>
      <c r="D13" s="130">
        <v>45931</v>
      </c>
      <c r="E13" s="18" t="s">
        <v>1057</v>
      </c>
      <c r="F13" s="132">
        <v>240000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8">
        <v>101</v>
      </c>
      <c r="D14" s="132" t="s">
        <v>1062</v>
      </c>
      <c r="E14" s="25" t="s">
        <v>1066</v>
      </c>
      <c r="F14" s="17">
        <v>370000</v>
      </c>
      <c r="G14" s="17"/>
      <c r="H14" s="117" t="s">
        <v>75</v>
      </c>
      <c r="I14" s="17"/>
      <c r="J14" s="117"/>
      <c r="K14" s="17"/>
    </row>
    <row r="15" spans="1:11">
      <c r="A15" s="17">
        <v>9</v>
      </c>
      <c r="B15" s="17"/>
      <c r="C15" s="17">
        <v>343</v>
      </c>
      <c r="D15" s="130">
        <v>45983</v>
      </c>
      <c r="E15" s="18" t="s">
        <v>1109</v>
      </c>
      <c r="F15" s="132">
        <v>410000</v>
      </c>
      <c r="G15" s="25"/>
      <c r="H15" s="17" t="s">
        <v>75</v>
      </c>
      <c r="I15" s="17"/>
      <c r="J15" s="117"/>
      <c r="K15" s="17"/>
    </row>
    <row r="16" spans="1:11">
      <c r="A16" s="17">
        <v>10</v>
      </c>
      <c r="B16" s="17"/>
      <c r="C16" s="98">
        <v>559</v>
      </c>
      <c r="D16" s="135">
        <v>46011</v>
      </c>
      <c r="E16" s="99" t="s">
        <v>1128</v>
      </c>
      <c r="F16" s="100">
        <v>1165000</v>
      </c>
      <c r="G16" s="101"/>
      <c r="H16" s="98" t="s">
        <v>75</v>
      </c>
      <c r="I16" s="17"/>
      <c r="J16" s="117"/>
      <c r="K16" s="17"/>
    </row>
    <row r="17" spans="1:11">
      <c r="A17" s="17">
        <v>11</v>
      </c>
      <c r="B17" s="17"/>
      <c r="C17" s="98">
        <v>668</v>
      </c>
      <c r="D17" s="135">
        <v>46082</v>
      </c>
      <c r="E17" s="99" t="s">
        <v>1168</v>
      </c>
      <c r="F17" s="100">
        <v>190000</v>
      </c>
      <c r="G17" s="101"/>
      <c r="H17" s="98" t="s">
        <v>75</v>
      </c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28412000</v>
      </c>
      <c r="G36" s="120">
        <f>SUM(G7:G35)</f>
        <v>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42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2.77734375" style="1" bestFit="1" customWidth="1"/>
    <col min="4" max="4" width="10.33203125" style="1" bestFit="1" customWidth="1"/>
    <col min="5" max="5" width="11" style="73" bestFit="1" customWidth="1"/>
    <col min="6" max="6" width="12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63</v>
      </c>
      <c r="B2" s="202" t="s">
        <v>942</v>
      </c>
      <c r="C2" s="203"/>
      <c r="D2" s="85"/>
      <c r="E2" s="86" t="s">
        <v>8</v>
      </c>
      <c r="F2" s="17">
        <v>2006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908</v>
      </c>
      <c r="D3" s="89"/>
      <c r="E3" s="86" t="s">
        <v>68</v>
      </c>
      <c r="F3" s="35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124</v>
      </c>
      <c r="C7" s="17"/>
      <c r="D7" s="130">
        <v>44927</v>
      </c>
      <c r="E7" s="18" t="s">
        <v>195</v>
      </c>
      <c r="F7" s="24">
        <v>16000</v>
      </c>
      <c r="G7" s="116"/>
      <c r="H7" s="17" t="s">
        <v>123</v>
      </c>
      <c r="I7" s="17"/>
      <c r="J7" s="117"/>
      <c r="K7" s="17"/>
    </row>
    <row r="8" spans="1:11">
      <c r="A8" s="17">
        <v>2</v>
      </c>
      <c r="B8" s="17"/>
      <c r="C8" s="17"/>
      <c r="D8" s="17"/>
      <c r="E8" s="18"/>
      <c r="F8" s="24"/>
      <c r="G8" s="116"/>
      <c r="H8" s="17"/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24"/>
      <c r="G9" s="116"/>
      <c r="H9" s="17"/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24"/>
      <c r="G10" s="116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24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16000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4300-000000000000}"/>
  </hyperlinks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K118"/>
  <sheetViews>
    <sheetView rightToLeft="1" view="pageBreakPreview" topLeftCell="A6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5.6640625" style="1" bestFit="1" customWidth="1"/>
    <col min="4" max="4" width="12.77734375" style="1" bestFit="1" customWidth="1"/>
    <col min="5" max="5" width="17.218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64</v>
      </c>
      <c r="B2" s="202" t="s">
        <v>909</v>
      </c>
      <c r="C2" s="203"/>
      <c r="D2" s="85"/>
      <c r="E2" s="86" t="s">
        <v>8</v>
      </c>
      <c r="F2" s="87">
        <v>2005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910</v>
      </c>
      <c r="D3" s="89"/>
      <c r="E3" s="86" t="s">
        <v>68</v>
      </c>
      <c r="F3" s="140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186</v>
      </c>
      <c r="C7" s="17"/>
      <c r="D7" s="130">
        <v>44952</v>
      </c>
      <c r="E7" s="18" t="s">
        <v>170</v>
      </c>
      <c r="F7" s="132">
        <v>15000</v>
      </c>
      <c r="G7" s="25"/>
      <c r="H7" s="17" t="s">
        <v>121</v>
      </c>
      <c r="I7" s="17"/>
      <c r="J7" s="117"/>
      <c r="K7" s="17"/>
    </row>
    <row r="8" spans="1:11" ht="34.799999999999997">
      <c r="A8" s="17">
        <v>2</v>
      </c>
      <c r="B8" s="17" t="s">
        <v>140</v>
      </c>
      <c r="C8" s="17"/>
      <c r="D8" s="130">
        <v>45067</v>
      </c>
      <c r="E8" s="18" t="s">
        <v>224</v>
      </c>
      <c r="F8" s="132">
        <v>320000</v>
      </c>
      <c r="G8" s="25"/>
      <c r="H8" s="17" t="s">
        <v>121</v>
      </c>
      <c r="I8" s="17"/>
      <c r="J8" s="117"/>
      <c r="K8" s="17"/>
    </row>
    <row r="9" spans="1:11" ht="34.799999999999997">
      <c r="A9" s="17">
        <v>3</v>
      </c>
      <c r="B9" s="17" t="s">
        <v>140</v>
      </c>
      <c r="C9" s="17"/>
      <c r="D9" s="130">
        <v>45082</v>
      </c>
      <c r="E9" s="18" t="s">
        <v>234</v>
      </c>
      <c r="F9" s="132">
        <v>30000</v>
      </c>
      <c r="G9" s="25"/>
      <c r="H9" s="17" t="s">
        <v>121</v>
      </c>
      <c r="I9" s="17"/>
      <c r="J9" s="117"/>
      <c r="K9" s="17"/>
    </row>
    <row r="10" spans="1:11" ht="34.799999999999997">
      <c r="A10" s="17">
        <v>4</v>
      </c>
      <c r="B10" s="17" t="s">
        <v>121</v>
      </c>
      <c r="C10" s="17"/>
      <c r="D10" s="130">
        <v>45087</v>
      </c>
      <c r="E10" s="18" t="s">
        <v>233</v>
      </c>
      <c r="F10" s="132">
        <v>150000</v>
      </c>
      <c r="G10" s="25"/>
      <c r="H10" s="17" t="s">
        <v>121</v>
      </c>
      <c r="I10" s="17"/>
      <c r="J10" s="117"/>
      <c r="K10" s="17"/>
    </row>
    <row r="11" spans="1:11">
      <c r="A11" s="17">
        <v>5</v>
      </c>
      <c r="B11" s="17"/>
      <c r="C11" s="17">
        <v>6049</v>
      </c>
      <c r="D11" s="17" t="s">
        <v>401</v>
      </c>
      <c r="E11" s="18" t="s">
        <v>324</v>
      </c>
      <c r="F11" s="132">
        <v>500000</v>
      </c>
      <c r="G11" s="25"/>
      <c r="H11" s="17" t="s">
        <v>75</v>
      </c>
      <c r="I11" s="17"/>
      <c r="J11" s="117"/>
      <c r="K11" s="17"/>
    </row>
    <row r="12" spans="1:11" ht="104.4">
      <c r="A12" s="17">
        <v>6</v>
      </c>
      <c r="B12" s="17"/>
      <c r="C12" s="98">
        <v>6488</v>
      </c>
      <c r="D12" s="135">
        <v>45601</v>
      </c>
      <c r="E12" s="99" t="s">
        <v>512</v>
      </c>
      <c r="F12" s="100">
        <v>2085000</v>
      </c>
      <c r="G12" s="101"/>
      <c r="H12" s="98" t="s">
        <v>75</v>
      </c>
      <c r="I12" s="17"/>
      <c r="J12" s="117"/>
      <c r="K12" s="17"/>
    </row>
    <row r="13" spans="1:11" ht="34.799999999999997">
      <c r="A13" s="17">
        <v>7</v>
      </c>
      <c r="B13" s="17"/>
      <c r="C13" s="17">
        <v>6633</v>
      </c>
      <c r="D13" s="17" t="s">
        <v>533</v>
      </c>
      <c r="E13" s="18" t="s">
        <v>538</v>
      </c>
      <c r="F13" s="132">
        <v>185000</v>
      </c>
      <c r="G13" s="25"/>
      <c r="H13" s="98" t="s">
        <v>75</v>
      </c>
      <c r="I13" s="17"/>
      <c r="J13" s="117"/>
      <c r="K13" s="17"/>
    </row>
    <row r="14" spans="1:11" ht="69.599999999999994">
      <c r="A14" s="17">
        <v>8</v>
      </c>
      <c r="B14" s="17"/>
      <c r="C14" s="17">
        <v>7580</v>
      </c>
      <c r="D14" s="130">
        <v>45649</v>
      </c>
      <c r="E14" s="18" t="s">
        <v>647</v>
      </c>
      <c r="F14" s="132">
        <v>310000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98">
        <v>7587</v>
      </c>
      <c r="D15" s="135">
        <v>45650</v>
      </c>
      <c r="E15" s="99" t="s">
        <v>617</v>
      </c>
      <c r="F15" s="100">
        <v>45000</v>
      </c>
      <c r="G15" s="101"/>
      <c r="H15" s="98" t="s">
        <v>75</v>
      </c>
      <c r="I15" s="17"/>
      <c r="J15" s="117"/>
      <c r="K15" s="17"/>
    </row>
    <row r="16" spans="1:11" ht="104.4">
      <c r="A16" s="17">
        <v>10</v>
      </c>
      <c r="B16" s="17"/>
      <c r="C16" s="98">
        <v>7829</v>
      </c>
      <c r="D16" s="135">
        <v>45696</v>
      </c>
      <c r="E16" s="99" t="s">
        <v>710</v>
      </c>
      <c r="F16" s="100">
        <v>1885000</v>
      </c>
      <c r="G16" s="101"/>
      <c r="H16" s="98" t="s">
        <v>75</v>
      </c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08"/>
      <c r="B26" s="204" t="s">
        <v>98</v>
      </c>
      <c r="C26" s="204"/>
      <c r="D26" s="108"/>
      <c r="E26" s="118"/>
      <c r="F26" s="119">
        <f>SUM(F7:F25)</f>
        <v>5525000</v>
      </c>
      <c r="G26" s="120">
        <f>SUM(G7:G25)</f>
        <v>0</v>
      </c>
      <c r="H26" s="108"/>
      <c r="I26" s="108"/>
      <c r="J26" s="121"/>
      <c r="K26" s="108"/>
    </row>
    <row r="27" spans="1:11">
      <c r="J27" s="115"/>
    </row>
    <row r="28" spans="1:11">
      <c r="J28" s="115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6:C26"/>
  </mergeCells>
  <hyperlinks>
    <hyperlink ref="K2" location="الاليات!A1" display="الاليات " xr:uid="{00000000-0004-0000-4400-000000000000}"/>
  </hyperlinks>
  <pageMargins left="0.7" right="0.7" top="0.75" bottom="0.75" header="0.3" footer="0.3"/>
  <pageSetup paperSize="9" scale="61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K118"/>
  <sheetViews>
    <sheetView rightToLeft="1" view="pageBreakPreview" zoomScale="120" zoomScaleNormal="100" zoomScaleSheetLayoutView="12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6640625" style="1" bestFit="1" customWidth="1"/>
    <col min="4" max="4" width="12.77734375" style="1" bestFit="1" customWidth="1"/>
    <col min="5" max="5" width="48.109375" style="73" customWidth="1"/>
    <col min="6" max="6" width="16.33203125" style="114" bestFit="1" customWidth="1"/>
    <col min="7" max="7" width="7.664062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3.25" customHeight="1">
      <c r="A2" s="35">
        <v>1</v>
      </c>
      <c r="B2" s="202" t="s">
        <v>32</v>
      </c>
      <c r="C2" s="203"/>
      <c r="D2" s="85"/>
      <c r="E2" s="86" t="s">
        <v>8</v>
      </c>
      <c r="F2" s="87">
        <v>1998</v>
      </c>
      <c r="G2" s="88"/>
      <c r="H2" s="89" t="s">
        <v>100</v>
      </c>
      <c r="I2" s="35"/>
      <c r="J2" s="81"/>
      <c r="K2" s="90" t="s">
        <v>102</v>
      </c>
    </row>
    <row r="3" spans="1:11" ht="23.25" customHeight="1">
      <c r="A3" s="35"/>
      <c r="B3" s="89" t="s">
        <v>99</v>
      </c>
      <c r="C3" s="123" t="s">
        <v>911</v>
      </c>
      <c r="D3" s="89"/>
      <c r="E3" s="86" t="s">
        <v>68</v>
      </c>
      <c r="F3" s="87" t="s">
        <v>72</v>
      </c>
      <c r="G3" s="88"/>
      <c r="H3" s="89" t="s">
        <v>824</v>
      </c>
      <c r="I3" s="35"/>
      <c r="J3" s="81"/>
      <c r="K3" s="81"/>
    </row>
    <row r="4" spans="1:11" ht="23.25" customHeight="1">
      <c r="A4" s="35"/>
      <c r="B4" s="89"/>
      <c r="C4" s="89"/>
      <c r="D4" s="89"/>
      <c r="E4" s="86"/>
      <c r="F4" s="140"/>
      <c r="G4" s="92"/>
      <c r="H4" s="81"/>
      <c r="I4" s="17"/>
      <c r="J4" s="81"/>
      <c r="K4" s="17"/>
    </row>
    <row r="5" spans="1:11" ht="23.25" customHeight="1">
      <c r="A5" s="35"/>
      <c r="B5" s="17" t="s">
        <v>855</v>
      </c>
      <c r="C5" s="35" t="s">
        <v>847</v>
      </c>
      <c r="D5" s="89"/>
      <c r="E5" s="86"/>
      <c r="F5" s="142"/>
      <c r="G5" s="92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17</v>
      </c>
      <c r="B7" s="17"/>
      <c r="C7" s="98">
        <v>6488</v>
      </c>
      <c r="D7" s="135">
        <v>45601</v>
      </c>
      <c r="E7" s="99" t="s">
        <v>517</v>
      </c>
      <c r="F7" s="100">
        <v>125000</v>
      </c>
      <c r="G7" s="101"/>
      <c r="H7" s="98" t="s">
        <v>75</v>
      </c>
      <c r="I7" s="17"/>
      <c r="J7" s="117"/>
      <c r="K7" s="17"/>
    </row>
    <row r="8" spans="1:11">
      <c r="A8" s="17">
        <v>9</v>
      </c>
      <c r="B8" s="17"/>
      <c r="C8" s="17">
        <v>6633</v>
      </c>
      <c r="D8" s="17" t="s">
        <v>533</v>
      </c>
      <c r="E8" s="18" t="s">
        <v>116</v>
      </c>
      <c r="F8" s="132">
        <v>850000</v>
      </c>
      <c r="G8" s="25"/>
      <c r="H8" s="98" t="s">
        <v>75</v>
      </c>
      <c r="I8" s="17"/>
      <c r="J8" s="117"/>
      <c r="K8" s="17"/>
    </row>
    <row r="9" spans="1:11">
      <c r="A9" s="17">
        <v>10</v>
      </c>
      <c r="B9" s="17"/>
      <c r="C9" s="98">
        <v>7071</v>
      </c>
      <c r="D9" s="135">
        <v>45560</v>
      </c>
      <c r="E9" s="99" t="s">
        <v>578</v>
      </c>
      <c r="F9" s="100">
        <v>900000</v>
      </c>
      <c r="G9" s="101"/>
      <c r="H9" s="98" t="s">
        <v>75</v>
      </c>
      <c r="I9" s="17"/>
      <c r="J9" s="117"/>
      <c r="K9" s="17"/>
    </row>
    <row r="10" spans="1:11">
      <c r="A10" s="17">
        <v>11</v>
      </c>
      <c r="B10" s="17"/>
      <c r="C10" s="98">
        <v>7587</v>
      </c>
      <c r="D10" s="135">
        <v>45650</v>
      </c>
      <c r="E10" s="99" t="s">
        <v>660</v>
      </c>
      <c r="F10" s="100">
        <v>728000</v>
      </c>
      <c r="G10" s="101"/>
      <c r="H10" s="98" t="s">
        <v>75</v>
      </c>
      <c r="I10" s="17"/>
      <c r="J10" s="117"/>
      <c r="K10" s="17"/>
    </row>
    <row r="11" spans="1:11">
      <c r="A11" s="17">
        <v>12</v>
      </c>
      <c r="B11" s="17"/>
      <c r="C11" s="17">
        <v>7882</v>
      </c>
      <c r="D11" s="130">
        <v>45705</v>
      </c>
      <c r="E11" s="18" t="s">
        <v>722</v>
      </c>
      <c r="F11" s="24">
        <v>1920000</v>
      </c>
      <c r="G11" s="116"/>
      <c r="H11" s="17" t="s">
        <v>75</v>
      </c>
      <c r="I11" s="17"/>
      <c r="J11" s="117"/>
      <c r="K11" s="17"/>
    </row>
    <row r="12" spans="1:11">
      <c r="A12" s="17">
        <v>13</v>
      </c>
      <c r="B12" s="17"/>
      <c r="C12" s="17">
        <v>7992</v>
      </c>
      <c r="D12" s="130">
        <v>45722</v>
      </c>
      <c r="E12" s="18" t="s">
        <v>729</v>
      </c>
      <c r="F12" s="24">
        <v>15000</v>
      </c>
      <c r="G12" s="116"/>
      <c r="H12" s="17" t="s">
        <v>75</v>
      </c>
      <c r="I12" s="17"/>
      <c r="J12" s="117"/>
      <c r="K12" s="17"/>
    </row>
    <row r="13" spans="1:11">
      <c r="A13" s="17">
        <v>14</v>
      </c>
      <c r="B13" s="17"/>
      <c r="C13" s="17">
        <v>8062</v>
      </c>
      <c r="D13" s="130">
        <v>45739</v>
      </c>
      <c r="E13" s="18" t="s">
        <v>737</v>
      </c>
      <c r="F13" s="24">
        <v>3000000</v>
      </c>
      <c r="G13" s="116"/>
      <c r="H13" s="17" t="s">
        <v>75</v>
      </c>
      <c r="I13" s="17"/>
      <c r="J13" s="117"/>
      <c r="K13" s="17"/>
    </row>
    <row r="14" spans="1:11">
      <c r="A14" s="17">
        <v>15</v>
      </c>
      <c r="B14" s="17"/>
      <c r="C14" s="17">
        <v>8152</v>
      </c>
      <c r="D14" s="130">
        <v>45760</v>
      </c>
      <c r="E14" s="18" t="s">
        <v>618</v>
      </c>
      <c r="F14" s="132">
        <v>4275000</v>
      </c>
      <c r="G14" s="25"/>
      <c r="H14" s="117" t="s">
        <v>75</v>
      </c>
      <c r="I14" s="17"/>
      <c r="J14" s="117"/>
      <c r="K14" s="17"/>
    </row>
    <row r="15" spans="1:11" ht="35.25" customHeight="1">
      <c r="A15" s="17">
        <v>16</v>
      </c>
      <c r="B15" s="17"/>
      <c r="C15" s="17">
        <v>8713</v>
      </c>
      <c r="D15" s="130">
        <v>45777</v>
      </c>
      <c r="E15" s="18" t="s">
        <v>762</v>
      </c>
      <c r="F15" s="132">
        <v>6000000</v>
      </c>
      <c r="G15" s="25"/>
      <c r="H15" s="117" t="s">
        <v>75</v>
      </c>
      <c r="I15" s="17"/>
      <c r="J15" s="117"/>
      <c r="K15" s="17"/>
    </row>
    <row r="16" spans="1:11">
      <c r="A16" s="17">
        <v>17</v>
      </c>
      <c r="B16" s="17"/>
      <c r="C16" s="99">
        <v>8806</v>
      </c>
      <c r="D16" s="136">
        <v>45791</v>
      </c>
      <c r="E16" s="99" t="s">
        <v>591</v>
      </c>
      <c r="F16" s="137">
        <v>200000</v>
      </c>
      <c r="G16" s="127"/>
      <c r="H16" s="98" t="s">
        <v>75</v>
      </c>
      <c r="I16" s="17"/>
      <c r="J16" s="117"/>
      <c r="K16" s="17"/>
    </row>
    <row r="17" spans="1:11" ht="31.5" customHeight="1">
      <c r="A17" s="17">
        <v>18</v>
      </c>
      <c r="B17" s="17"/>
      <c r="C17" s="17">
        <v>8850</v>
      </c>
      <c r="D17" s="130">
        <v>45798</v>
      </c>
      <c r="E17" s="18" t="s">
        <v>787</v>
      </c>
      <c r="F17" s="132">
        <v>17250000</v>
      </c>
      <c r="G17" s="25"/>
      <c r="H17" s="98" t="s">
        <v>75</v>
      </c>
      <c r="I17" s="17"/>
      <c r="J17" s="117"/>
      <c r="K17" s="17"/>
    </row>
    <row r="18" spans="1:11" ht="23.25" customHeight="1">
      <c r="A18" s="17">
        <v>19</v>
      </c>
      <c r="B18" s="17"/>
      <c r="C18" s="17">
        <v>9087</v>
      </c>
      <c r="D18" s="130">
        <v>45836</v>
      </c>
      <c r="E18" s="18" t="s">
        <v>801</v>
      </c>
      <c r="F18" s="24">
        <v>1659000</v>
      </c>
      <c r="G18" s="116"/>
      <c r="H18" s="17" t="s">
        <v>75</v>
      </c>
      <c r="I18" s="17"/>
      <c r="J18" s="117"/>
      <c r="K18" s="17"/>
    </row>
    <row r="19" spans="1:11">
      <c r="A19" s="17">
        <v>20</v>
      </c>
      <c r="B19" s="17"/>
      <c r="C19" s="17">
        <v>9920</v>
      </c>
      <c r="D19" s="130">
        <v>45931</v>
      </c>
      <c r="E19" s="18" t="s">
        <v>1058</v>
      </c>
      <c r="F19" s="132">
        <v>5230000</v>
      </c>
      <c r="G19" s="25"/>
      <c r="H19" s="17" t="s">
        <v>75</v>
      </c>
      <c r="I19" s="17"/>
      <c r="J19" s="117"/>
      <c r="K19" s="17"/>
    </row>
    <row r="20" spans="1:11">
      <c r="A20" s="17">
        <v>21</v>
      </c>
      <c r="B20" s="17"/>
      <c r="C20" s="17">
        <v>101</v>
      </c>
      <c r="D20" s="130" t="s">
        <v>1062</v>
      </c>
      <c r="E20" s="18" t="s">
        <v>1073</v>
      </c>
      <c r="F20" s="132">
        <v>750000</v>
      </c>
      <c r="G20" s="25"/>
      <c r="H20" s="17" t="s">
        <v>75</v>
      </c>
      <c r="I20" s="17"/>
      <c r="J20" s="117"/>
      <c r="K20" s="17"/>
    </row>
    <row r="21" spans="1:11">
      <c r="A21" s="17">
        <v>22</v>
      </c>
      <c r="B21" s="17"/>
      <c r="C21" s="17">
        <v>303</v>
      </c>
      <c r="D21" s="130">
        <v>45977</v>
      </c>
      <c r="E21" s="18" t="s">
        <v>1090</v>
      </c>
      <c r="F21" s="132">
        <v>140000</v>
      </c>
      <c r="G21" s="25"/>
      <c r="H21" s="117" t="s">
        <v>75</v>
      </c>
      <c r="I21" s="17"/>
      <c r="J21" s="117"/>
      <c r="K21" s="17"/>
    </row>
    <row r="22" spans="1:11">
      <c r="A22" s="17">
        <v>23</v>
      </c>
      <c r="B22" s="17"/>
      <c r="C22" s="98">
        <v>668</v>
      </c>
      <c r="D22" s="135">
        <v>46082</v>
      </c>
      <c r="E22" s="99" t="s">
        <v>1159</v>
      </c>
      <c r="F22" s="100">
        <v>160000</v>
      </c>
      <c r="G22" s="101"/>
      <c r="H22" s="98" t="s">
        <v>75</v>
      </c>
      <c r="I22" s="17"/>
      <c r="J22" s="117"/>
      <c r="K22" s="17"/>
    </row>
    <row r="23" spans="1:11">
      <c r="A23" s="17">
        <v>24</v>
      </c>
      <c r="B23" s="17"/>
      <c r="C23" s="17">
        <v>1093</v>
      </c>
      <c r="D23" s="130">
        <v>46086</v>
      </c>
      <c r="E23" s="18" t="s">
        <v>1236</v>
      </c>
      <c r="F23" s="132"/>
      <c r="G23" s="25">
        <v>2200</v>
      </c>
      <c r="H23" s="17" t="s">
        <v>75</v>
      </c>
      <c r="I23" s="17"/>
      <c r="J23" s="117"/>
      <c r="K23" s="17"/>
    </row>
    <row r="24" spans="1:11" ht="34.799999999999997">
      <c r="A24" s="17">
        <v>25</v>
      </c>
      <c r="B24" s="17"/>
      <c r="C24" s="98">
        <v>1394</v>
      </c>
      <c r="D24" s="135">
        <v>46300</v>
      </c>
      <c r="E24" s="99" t="s">
        <v>1279</v>
      </c>
      <c r="F24" s="100">
        <v>10000000</v>
      </c>
      <c r="G24" s="127"/>
      <c r="H24" s="98" t="s">
        <v>75</v>
      </c>
      <c r="I24" s="17"/>
      <c r="J24" s="117"/>
      <c r="K24" s="17"/>
    </row>
    <row r="25" spans="1:11" ht="69.599999999999994">
      <c r="A25" s="17">
        <v>26</v>
      </c>
      <c r="B25" s="17"/>
      <c r="C25" s="17">
        <v>1428</v>
      </c>
      <c r="D25" s="17" t="s">
        <v>1286</v>
      </c>
      <c r="E25" s="18" t="s">
        <v>1287</v>
      </c>
      <c r="F25" s="132">
        <v>2350000</v>
      </c>
      <c r="G25" s="25"/>
      <c r="H25" s="17" t="s">
        <v>75</v>
      </c>
      <c r="I25" s="17"/>
      <c r="J25" s="117"/>
      <c r="K25" s="17"/>
    </row>
    <row r="26" spans="1:11">
      <c r="A26" s="17">
        <v>27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28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29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30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08"/>
      <c r="B30" s="204" t="s">
        <v>98</v>
      </c>
      <c r="C30" s="204"/>
      <c r="D30" s="108"/>
      <c r="E30" s="118"/>
      <c r="F30" s="119">
        <f>SUM(F7:F29)</f>
        <v>55552000</v>
      </c>
      <c r="G30" s="120">
        <f>SUM(G7:G29)</f>
        <v>2200</v>
      </c>
      <c r="H30" s="108"/>
      <c r="I30" s="108"/>
      <c r="J30" s="121"/>
      <c r="K30" s="108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0:C30"/>
  </mergeCells>
  <hyperlinks>
    <hyperlink ref="K2" location="الاليات!A1" display="الاليات " xr:uid="{00000000-0004-0000-4500-000000000000}"/>
  </hyperlinks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4" width="12.77734375" style="1" bestFit="1" customWidth="1"/>
    <col min="5" max="5" width="23.21875" style="73" bestFit="1" customWidth="1"/>
    <col min="6" max="6" width="15.109375" style="114" bestFit="1" customWidth="1"/>
    <col min="7" max="7" width="6.21875" style="79" bestFit="1" customWidth="1"/>
    <col min="8" max="8" width="13.44140625" style="1" bestFit="1" customWidth="1"/>
    <col min="9" max="9" width="12.77734375" style="1" bestFit="1" customWidth="1"/>
    <col min="10" max="10" width="5.664062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66</v>
      </c>
      <c r="B2" s="202" t="s">
        <v>34</v>
      </c>
      <c r="C2" s="203"/>
      <c r="D2" s="85"/>
      <c r="E2" s="86" t="s">
        <v>8</v>
      </c>
      <c r="F2" s="87">
        <v>1994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912</v>
      </c>
      <c r="D3" s="89"/>
      <c r="E3" s="86" t="s">
        <v>68</v>
      </c>
      <c r="F3" s="87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34.799999999999997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69.599999999999994">
      <c r="A7" s="17">
        <v>1</v>
      </c>
      <c r="B7" s="17"/>
      <c r="C7" s="98">
        <v>7071</v>
      </c>
      <c r="D7" s="135">
        <v>45560</v>
      </c>
      <c r="E7" s="99" t="s">
        <v>577</v>
      </c>
      <c r="F7" s="100">
        <v>822000</v>
      </c>
      <c r="G7" s="101"/>
      <c r="H7" s="98" t="s">
        <v>75</v>
      </c>
      <c r="I7" s="17"/>
      <c r="J7" s="117"/>
      <c r="K7" s="17"/>
    </row>
    <row r="8" spans="1:11">
      <c r="A8" s="17">
        <v>2</v>
      </c>
      <c r="B8" s="17"/>
      <c r="C8" s="17">
        <v>7272</v>
      </c>
      <c r="D8" s="130">
        <v>45599</v>
      </c>
      <c r="E8" s="131" t="s">
        <v>145</v>
      </c>
      <c r="F8" s="132">
        <v>140000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7348</v>
      </c>
      <c r="D9" s="130">
        <v>45619</v>
      </c>
      <c r="E9" s="131" t="s">
        <v>626</v>
      </c>
      <c r="F9" s="132">
        <v>15000</v>
      </c>
      <c r="G9" s="116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7587</v>
      </c>
      <c r="D10" s="130">
        <v>45650</v>
      </c>
      <c r="E10" s="18" t="s">
        <v>653</v>
      </c>
      <c r="F10" s="132">
        <v>240000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98">
        <v>7658</v>
      </c>
      <c r="D11" s="135">
        <v>45662</v>
      </c>
      <c r="E11" s="99" t="s">
        <v>677</v>
      </c>
      <c r="F11" s="100">
        <v>40000</v>
      </c>
      <c r="G11" s="127"/>
      <c r="H11" s="98" t="s">
        <v>75</v>
      </c>
      <c r="I11" s="17"/>
      <c r="J11" s="117"/>
      <c r="K11" s="17"/>
    </row>
    <row r="12" spans="1:11">
      <c r="A12" s="17">
        <v>6</v>
      </c>
      <c r="B12" s="17"/>
      <c r="C12" s="98">
        <v>7717</v>
      </c>
      <c r="D12" s="135">
        <v>45676</v>
      </c>
      <c r="E12" s="99" t="s">
        <v>116</v>
      </c>
      <c r="F12" s="100">
        <v>30000</v>
      </c>
      <c r="G12" s="127"/>
      <c r="H12" s="98" t="s">
        <v>75</v>
      </c>
      <c r="I12" s="17"/>
      <c r="J12" s="117"/>
      <c r="K12" s="17"/>
    </row>
    <row r="13" spans="1:11">
      <c r="A13" s="17">
        <v>7</v>
      </c>
      <c r="B13" s="17"/>
      <c r="C13" s="17">
        <v>7992</v>
      </c>
      <c r="D13" s="130">
        <v>45722</v>
      </c>
      <c r="E13" s="18" t="s">
        <v>728</v>
      </c>
      <c r="F13" s="24">
        <v>130000</v>
      </c>
      <c r="G13" s="116"/>
      <c r="H13" s="17" t="s">
        <v>75</v>
      </c>
      <c r="I13" s="17"/>
      <c r="J13" s="117"/>
      <c r="K13" s="17"/>
    </row>
    <row r="14" spans="1:11" ht="34.799999999999997">
      <c r="A14" s="17">
        <v>8</v>
      </c>
      <c r="B14" s="17"/>
      <c r="C14" s="18">
        <v>8981</v>
      </c>
      <c r="D14" s="133">
        <v>45813</v>
      </c>
      <c r="E14" s="18" t="s">
        <v>789</v>
      </c>
      <c r="F14" s="134">
        <v>972000</v>
      </c>
      <c r="G14" s="116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8">
        <v>9203</v>
      </c>
      <c r="D15" s="133">
        <v>45848</v>
      </c>
      <c r="E15" s="99" t="s">
        <v>546</v>
      </c>
      <c r="F15" s="100">
        <v>355000</v>
      </c>
      <c r="G15" s="127"/>
      <c r="H15" s="98" t="s">
        <v>75</v>
      </c>
      <c r="I15" s="17"/>
      <c r="J15" s="117"/>
      <c r="K15" s="17"/>
    </row>
    <row r="16" spans="1:11">
      <c r="A16" s="17">
        <v>10</v>
      </c>
      <c r="B16" s="17"/>
      <c r="C16" s="17">
        <v>9434</v>
      </c>
      <c r="D16" s="130">
        <v>45874</v>
      </c>
      <c r="E16" s="18" t="s">
        <v>283</v>
      </c>
      <c r="F16" s="132">
        <v>35000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98">
        <v>9539</v>
      </c>
      <c r="D17" s="135">
        <v>45890</v>
      </c>
      <c r="E17" s="99" t="s">
        <v>1006</v>
      </c>
      <c r="F17" s="100">
        <v>60000</v>
      </c>
      <c r="G17" s="101"/>
      <c r="H17" s="98" t="s">
        <v>75</v>
      </c>
      <c r="I17" s="17"/>
      <c r="J17" s="117"/>
      <c r="K17" s="17"/>
    </row>
    <row r="18" spans="1:11">
      <c r="A18" s="17">
        <v>12</v>
      </c>
      <c r="B18" s="17"/>
      <c r="C18" s="17">
        <v>519</v>
      </c>
      <c r="D18" s="130">
        <v>46004</v>
      </c>
      <c r="E18" s="18" t="s">
        <v>1123</v>
      </c>
      <c r="F18" s="132">
        <v>450000</v>
      </c>
      <c r="G18" s="25"/>
      <c r="H18" s="17" t="s">
        <v>75</v>
      </c>
      <c r="I18" s="17"/>
      <c r="J18" s="117"/>
      <c r="K18" s="17"/>
    </row>
    <row r="19" spans="1:11">
      <c r="A19" s="17">
        <v>13</v>
      </c>
      <c r="B19" s="17"/>
      <c r="C19" s="98">
        <v>668</v>
      </c>
      <c r="D19" s="135">
        <v>46082</v>
      </c>
      <c r="E19" s="99" t="s">
        <v>537</v>
      </c>
      <c r="F19" s="100">
        <v>700000</v>
      </c>
      <c r="G19" s="101"/>
      <c r="H19" s="98" t="s">
        <v>75</v>
      </c>
      <c r="I19" s="17"/>
      <c r="J19" s="117"/>
      <c r="K19" s="17"/>
    </row>
    <row r="20" spans="1:11" ht="34.799999999999997">
      <c r="A20" s="17">
        <v>14</v>
      </c>
      <c r="B20" s="17"/>
      <c r="C20" s="17">
        <v>1093</v>
      </c>
      <c r="D20" s="130">
        <v>46086</v>
      </c>
      <c r="E20" s="18" t="s">
        <v>1220</v>
      </c>
      <c r="F20" s="132">
        <v>430000</v>
      </c>
      <c r="G20" s="25"/>
      <c r="H20" s="17" t="s">
        <v>75</v>
      </c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4419000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4600-000000000000}"/>
  </hyperlinks>
  <pageMargins left="0.7" right="0.7" top="0.75" bottom="0.75" header="0.3" footer="0.3"/>
  <pageSetup paperSize="9" scale="64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118"/>
  <sheetViews>
    <sheetView rightToLeft="1" zoomScaleNormal="10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8.6640625" style="1" bestFit="1" customWidth="1"/>
    <col min="3" max="3" width="15.33203125" style="1" bestFit="1" customWidth="1"/>
    <col min="4" max="4" width="12.77734375" style="1" bestFit="1" customWidth="1"/>
    <col min="5" max="5" width="23.109375" style="73" bestFit="1" customWidth="1"/>
    <col min="6" max="6" width="16.33203125" style="114" bestFit="1" customWidth="1"/>
    <col min="7" max="7" width="7.664062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4.664062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67</v>
      </c>
      <c r="B2" s="202" t="s">
        <v>199</v>
      </c>
      <c r="C2" s="203"/>
      <c r="D2" s="85"/>
      <c r="E2" s="86" t="s">
        <v>8</v>
      </c>
      <c r="F2" s="87">
        <v>1992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913</v>
      </c>
      <c r="D3" s="89"/>
      <c r="E3" s="86" t="s">
        <v>68</v>
      </c>
      <c r="F3" s="140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5666</v>
      </c>
      <c r="D7" s="17" t="s">
        <v>151</v>
      </c>
      <c r="E7" s="18" t="s">
        <v>324</v>
      </c>
      <c r="F7" s="132">
        <v>80000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5666</v>
      </c>
      <c r="D8" s="17" t="s">
        <v>151</v>
      </c>
      <c r="E8" s="18" t="s">
        <v>304</v>
      </c>
      <c r="F8" s="132">
        <v>275000</v>
      </c>
      <c r="G8" s="25"/>
      <c r="H8" s="17" t="s">
        <v>75</v>
      </c>
      <c r="I8" s="17"/>
      <c r="J8" s="117"/>
      <c r="K8" s="17"/>
    </row>
    <row r="9" spans="1:11" ht="69.599999999999994">
      <c r="A9" s="17">
        <v>3</v>
      </c>
      <c r="B9" s="17"/>
      <c r="C9" s="17">
        <v>6488</v>
      </c>
      <c r="D9" s="130">
        <v>45601</v>
      </c>
      <c r="E9" s="18" t="s">
        <v>521</v>
      </c>
      <c r="F9" s="132">
        <v>3005000</v>
      </c>
      <c r="G9" s="25"/>
      <c r="H9" s="17" t="s">
        <v>75</v>
      </c>
      <c r="I9" s="17"/>
      <c r="J9" s="117"/>
      <c r="K9" s="17"/>
    </row>
    <row r="10" spans="1:11" ht="34.799999999999997">
      <c r="A10" s="17">
        <v>4</v>
      </c>
      <c r="B10" s="17"/>
      <c r="C10" s="17">
        <v>6633</v>
      </c>
      <c r="D10" s="17" t="s">
        <v>533</v>
      </c>
      <c r="E10" s="18" t="s">
        <v>536</v>
      </c>
      <c r="F10" s="132">
        <v>590000</v>
      </c>
      <c r="G10" s="25"/>
      <c r="H10" s="98" t="s">
        <v>75</v>
      </c>
      <c r="I10" s="17"/>
      <c r="J10" s="117"/>
      <c r="K10" s="17"/>
    </row>
    <row r="11" spans="1:11" ht="52.2">
      <c r="A11" s="17">
        <v>5</v>
      </c>
      <c r="B11" s="17"/>
      <c r="C11" s="98">
        <v>6758</v>
      </c>
      <c r="D11" s="98" t="s">
        <v>545</v>
      </c>
      <c r="E11" s="99" t="s">
        <v>551</v>
      </c>
      <c r="F11" s="100">
        <v>425000</v>
      </c>
      <c r="G11" s="101"/>
      <c r="H11" s="98" t="s">
        <v>75</v>
      </c>
      <c r="I11" s="17"/>
      <c r="J11" s="117"/>
      <c r="K11" s="17"/>
    </row>
    <row r="12" spans="1:11">
      <c r="A12" s="17">
        <v>6</v>
      </c>
      <c r="B12" s="17"/>
      <c r="C12" s="98">
        <v>6861</v>
      </c>
      <c r="D12" s="135">
        <v>45451</v>
      </c>
      <c r="E12" s="99" t="s">
        <v>559</v>
      </c>
      <c r="F12" s="100">
        <v>150000</v>
      </c>
      <c r="G12" s="101"/>
      <c r="H12" s="98" t="s">
        <v>75</v>
      </c>
      <c r="I12" s="17"/>
      <c r="J12" s="117"/>
      <c r="K12" s="17"/>
    </row>
    <row r="13" spans="1:11">
      <c r="A13" s="17">
        <v>7</v>
      </c>
      <c r="B13" s="17"/>
      <c r="C13" s="98">
        <v>7071</v>
      </c>
      <c r="D13" s="135">
        <v>45560</v>
      </c>
      <c r="E13" s="99" t="s">
        <v>576</v>
      </c>
      <c r="F13" s="100">
        <v>110000</v>
      </c>
      <c r="G13" s="101"/>
      <c r="H13" s="98" t="s">
        <v>75</v>
      </c>
      <c r="I13" s="17"/>
      <c r="J13" s="117"/>
      <c r="K13" s="17"/>
    </row>
    <row r="14" spans="1:11">
      <c r="A14" s="17">
        <v>8</v>
      </c>
      <c r="B14" s="17"/>
      <c r="C14" s="17">
        <v>7272</v>
      </c>
      <c r="D14" s="130">
        <v>45599</v>
      </c>
      <c r="E14" s="131" t="s">
        <v>608</v>
      </c>
      <c r="F14" s="132">
        <v>180000</v>
      </c>
      <c r="G14" s="116"/>
      <c r="H14" s="17" t="s">
        <v>75</v>
      </c>
      <c r="I14" s="17"/>
      <c r="J14" s="117"/>
      <c r="K14" s="17"/>
    </row>
    <row r="15" spans="1:11" ht="104.4">
      <c r="A15" s="17">
        <v>9</v>
      </c>
      <c r="B15" s="17"/>
      <c r="C15" s="17">
        <v>7580</v>
      </c>
      <c r="D15" s="130">
        <v>45649</v>
      </c>
      <c r="E15" s="18" t="s">
        <v>637</v>
      </c>
      <c r="F15" s="132">
        <v>635000</v>
      </c>
      <c r="G15" s="25"/>
      <c r="H15" s="17" t="s">
        <v>75</v>
      </c>
      <c r="I15" s="17"/>
      <c r="J15" s="117"/>
      <c r="K15" s="17"/>
    </row>
    <row r="16" spans="1:11" ht="87">
      <c r="A16" s="17">
        <v>10</v>
      </c>
      <c r="B16" s="17"/>
      <c r="C16" s="17">
        <v>7587</v>
      </c>
      <c r="D16" s="130">
        <v>45650</v>
      </c>
      <c r="E16" s="18" t="s">
        <v>651</v>
      </c>
      <c r="F16" s="132">
        <v>235000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7621</v>
      </c>
      <c r="D17" s="130">
        <v>45655</v>
      </c>
      <c r="E17" s="18" t="s">
        <v>667</v>
      </c>
      <c r="F17" s="132">
        <v>125000</v>
      </c>
      <c r="G17" s="25"/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98">
        <v>7829</v>
      </c>
      <c r="D18" s="135">
        <v>45696</v>
      </c>
      <c r="E18" s="99" t="s">
        <v>702</v>
      </c>
      <c r="F18" s="100">
        <v>35000</v>
      </c>
      <c r="G18" s="101"/>
      <c r="H18" s="98" t="s">
        <v>75</v>
      </c>
      <c r="I18" s="17"/>
      <c r="J18" s="117"/>
      <c r="K18" s="17"/>
    </row>
    <row r="19" spans="1:11" ht="34.799999999999997">
      <c r="A19" s="17">
        <v>13</v>
      </c>
      <c r="B19" s="17"/>
      <c r="C19" s="17">
        <v>8062</v>
      </c>
      <c r="D19" s="130">
        <v>45739</v>
      </c>
      <c r="E19" s="18" t="s">
        <v>731</v>
      </c>
      <c r="F19" s="24">
        <v>685000</v>
      </c>
      <c r="G19" s="116"/>
      <c r="H19" s="17" t="s">
        <v>75</v>
      </c>
      <c r="I19" s="17"/>
      <c r="J19" s="117"/>
      <c r="K19" s="17"/>
    </row>
    <row r="20" spans="1:11" ht="34.799999999999997">
      <c r="A20" s="17">
        <v>14</v>
      </c>
      <c r="B20" s="17"/>
      <c r="C20" s="143">
        <v>9203</v>
      </c>
      <c r="D20" s="144">
        <v>45848</v>
      </c>
      <c r="E20" s="99" t="s">
        <v>813</v>
      </c>
      <c r="F20" s="100">
        <v>550000</v>
      </c>
      <c r="G20" s="127"/>
      <c r="H20" s="98" t="s">
        <v>75</v>
      </c>
      <c r="I20" s="17"/>
      <c r="J20" s="117"/>
      <c r="K20" s="17"/>
    </row>
    <row r="21" spans="1:11" ht="34.799999999999997">
      <c r="A21" s="17">
        <v>15</v>
      </c>
      <c r="B21" s="17"/>
      <c r="C21" s="98">
        <v>9738</v>
      </c>
      <c r="D21" s="135">
        <v>45913</v>
      </c>
      <c r="E21" s="99" t="s">
        <v>1047</v>
      </c>
      <c r="F21" s="100">
        <v>1365000</v>
      </c>
      <c r="G21" s="101"/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18">
        <v>303</v>
      </c>
      <c r="D22" s="133">
        <v>45977</v>
      </c>
      <c r="E22" s="18" t="s">
        <v>1102</v>
      </c>
      <c r="F22" s="134">
        <v>425000</v>
      </c>
      <c r="G22" s="25"/>
      <c r="H22" s="17" t="s">
        <v>75</v>
      </c>
      <c r="I22" s="17"/>
      <c r="J22" s="117"/>
      <c r="K22" s="17"/>
    </row>
    <row r="23" spans="1:11" ht="34.799999999999997">
      <c r="A23" s="17">
        <v>17</v>
      </c>
      <c r="B23" s="17"/>
      <c r="C23" s="17">
        <v>615</v>
      </c>
      <c r="D23" s="130">
        <v>46018</v>
      </c>
      <c r="E23" s="18" t="s">
        <v>1144</v>
      </c>
      <c r="F23" s="132">
        <v>230000</v>
      </c>
      <c r="G23" s="25">
        <v>1000</v>
      </c>
      <c r="H23" s="117" t="s">
        <v>75</v>
      </c>
      <c r="I23" s="17"/>
      <c r="J23" s="117"/>
      <c r="K23" s="17"/>
    </row>
    <row r="24" spans="1:11">
      <c r="A24" s="17">
        <v>18</v>
      </c>
      <c r="B24" s="17"/>
      <c r="C24" s="98">
        <v>794</v>
      </c>
      <c r="D24" s="98" t="s">
        <v>1178</v>
      </c>
      <c r="E24" s="99" t="s">
        <v>1189</v>
      </c>
      <c r="F24" s="100">
        <v>350000</v>
      </c>
      <c r="G24" s="101"/>
      <c r="H24" s="98" t="s">
        <v>75</v>
      </c>
      <c r="I24" s="17"/>
      <c r="J24" s="117"/>
      <c r="K24" s="17"/>
    </row>
    <row r="25" spans="1:11">
      <c r="A25" s="17">
        <v>19</v>
      </c>
      <c r="B25" s="17"/>
      <c r="C25" s="17">
        <v>1158</v>
      </c>
      <c r="D25" s="17" t="s">
        <v>1241</v>
      </c>
      <c r="E25" s="18" t="s">
        <v>1247</v>
      </c>
      <c r="F25" s="132">
        <v>812000</v>
      </c>
      <c r="G25" s="116"/>
      <c r="H25" s="17" t="s">
        <v>75</v>
      </c>
      <c r="I25" s="17"/>
      <c r="J25" s="117"/>
      <c r="K25" s="17"/>
    </row>
    <row r="26" spans="1:11">
      <c r="A26" s="17">
        <v>20</v>
      </c>
      <c r="B26" s="17"/>
      <c r="C26" s="17">
        <v>1281</v>
      </c>
      <c r="D26" s="17" t="s">
        <v>1256</v>
      </c>
      <c r="E26" s="18" t="s">
        <v>1261</v>
      </c>
      <c r="F26" s="132">
        <v>135000</v>
      </c>
      <c r="G26" s="116"/>
      <c r="H26" s="17" t="s">
        <v>75</v>
      </c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08"/>
      <c r="B31" s="204" t="s">
        <v>98</v>
      </c>
      <c r="C31" s="204"/>
      <c r="D31" s="108"/>
      <c r="E31" s="118"/>
      <c r="F31" s="119">
        <f>SUM(F7:F30)</f>
        <v>10397000</v>
      </c>
      <c r="G31" s="120">
        <f>SUM(G7:G30)</f>
        <v>1000</v>
      </c>
      <c r="H31" s="108"/>
      <c r="I31" s="108"/>
      <c r="J31" s="121"/>
      <c r="K31" s="108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1:C31"/>
  </mergeCells>
  <hyperlinks>
    <hyperlink ref="K2" location="الاليات!A1" display="الاليات " xr:uid="{00000000-0004-0000-4700-000000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4" width="12.77734375" style="1" bestFit="1" customWidth="1"/>
    <col min="5" max="5" width="79.44140625" style="73" bestFit="1" customWidth="1"/>
    <col min="6" max="6" width="16.33203125" style="78" bestFit="1" customWidth="1"/>
    <col min="7" max="7" width="7.664062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68</v>
      </c>
      <c r="B2" s="202" t="s">
        <v>33</v>
      </c>
      <c r="C2" s="203"/>
      <c r="D2" s="85"/>
      <c r="E2" s="86" t="s">
        <v>8</v>
      </c>
      <c r="F2" s="17">
        <v>1991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>
        <v>2884</v>
      </c>
      <c r="D3" s="89"/>
      <c r="E3" s="86" t="s">
        <v>68</v>
      </c>
      <c r="F3" s="89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7348</v>
      </c>
      <c r="D7" s="130">
        <v>45619</v>
      </c>
      <c r="E7" s="131" t="s">
        <v>629</v>
      </c>
      <c r="F7" s="132">
        <v>1225000</v>
      </c>
      <c r="G7" s="116">
        <v>1250</v>
      </c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7430</v>
      </c>
      <c r="D8" s="130">
        <v>45631</v>
      </c>
      <c r="E8" s="18" t="s">
        <v>189</v>
      </c>
      <c r="F8" s="24">
        <v>6000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7580</v>
      </c>
      <c r="D9" s="130">
        <v>45649</v>
      </c>
      <c r="E9" s="18" t="s">
        <v>644</v>
      </c>
      <c r="F9" s="132">
        <v>135000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98">
        <v>7829</v>
      </c>
      <c r="D10" s="135">
        <v>45696</v>
      </c>
      <c r="E10" s="99" t="s">
        <v>709</v>
      </c>
      <c r="F10" s="100">
        <v>90000</v>
      </c>
      <c r="G10" s="101"/>
      <c r="H10" s="98" t="s">
        <v>75</v>
      </c>
      <c r="I10" s="17"/>
      <c r="J10" s="117"/>
      <c r="K10" s="17"/>
    </row>
    <row r="11" spans="1:11">
      <c r="A11" s="17">
        <v>5</v>
      </c>
      <c r="B11" s="17"/>
      <c r="C11" s="17">
        <v>7882</v>
      </c>
      <c r="D11" s="130">
        <v>45705</v>
      </c>
      <c r="E11" s="18" t="s">
        <v>711</v>
      </c>
      <c r="F11" s="24">
        <v>2422000</v>
      </c>
      <c r="G11" s="116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>
        <v>7992</v>
      </c>
      <c r="D12" s="130">
        <v>45722</v>
      </c>
      <c r="E12" s="18" t="s">
        <v>724</v>
      </c>
      <c r="F12" s="24">
        <v>2462000</v>
      </c>
      <c r="G12" s="116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>
        <v>8062</v>
      </c>
      <c r="D13" s="130">
        <v>45739</v>
      </c>
      <c r="E13" s="18" t="s">
        <v>730</v>
      </c>
      <c r="F13" s="24">
        <v>1343500</v>
      </c>
      <c r="G13" s="116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>
        <v>8716</v>
      </c>
      <c r="D14" s="130">
        <v>45777</v>
      </c>
      <c r="E14" s="18" t="s">
        <v>745</v>
      </c>
      <c r="F14" s="24">
        <v>885000</v>
      </c>
      <c r="G14" s="116"/>
      <c r="H14" s="17" t="s">
        <v>746</v>
      </c>
      <c r="I14" s="17"/>
      <c r="J14" s="117"/>
      <c r="K14" s="17"/>
    </row>
    <row r="15" spans="1:11">
      <c r="A15" s="17">
        <v>9</v>
      </c>
      <c r="B15" s="17"/>
      <c r="C15" s="17">
        <v>8152</v>
      </c>
      <c r="D15" s="130">
        <v>45760</v>
      </c>
      <c r="E15" s="18" t="s">
        <v>758</v>
      </c>
      <c r="F15" s="132">
        <v>75000</v>
      </c>
      <c r="G15" s="25"/>
      <c r="H15" s="117" t="s">
        <v>75</v>
      </c>
      <c r="I15" s="17"/>
      <c r="J15" s="117"/>
      <c r="K15" s="17"/>
    </row>
    <row r="16" spans="1:11" ht="34.799999999999997">
      <c r="A16" s="17">
        <v>10</v>
      </c>
      <c r="B16" s="17"/>
      <c r="C16" s="17">
        <v>8713</v>
      </c>
      <c r="D16" s="130">
        <v>45777</v>
      </c>
      <c r="E16" s="18" t="s">
        <v>764</v>
      </c>
      <c r="F16" s="132">
        <v>1500000</v>
      </c>
      <c r="G16" s="25"/>
      <c r="H16" s="117" t="s">
        <v>75</v>
      </c>
      <c r="I16" s="17"/>
      <c r="J16" s="117"/>
      <c r="K16" s="17"/>
    </row>
    <row r="17" spans="1:11">
      <c r="A17" s="17">
        <v>11</v>
      </c>
      <c r="B17" s="17"/>
      <c r="C17" s="17">
        <v>8850</v>
      </c>
      <c r="D17" s="130">
        <v>45798</v>
      </c>
      <c r="E17" s="18" t="s">
        <v>145</v>
      </c>
      <c r="F17" s="132">
        <v>393000</v>
      </c>
      <c r="G17" s="25"/>
      <c r="H17" s="98" t="s">
        <v>75</v>
      </c>
      <c r="I17" s="17"/>
      <c r="J17" s="117"/>
      <c r="K17" s="17"/>
    </row>
    <row r="18" spans="1:11">
      <c r="A18" s="17">
        <v>12</v>
      </c>
      <c r="B18" s="17"/>
      <c r="C18" s="17">
        <v>9434</v>
      </c>
      <c r="D18" s="130">
        <v>45874</v>
      </c>
      <c r="E18" s="18" t="s">
        <v>1001</v>
      </c>
      <c r="F18" s="24">
        <v>281000</v>
      </c>
      <c r="G18" s="116"/>
      <c r="H18" s="17" t="s">
        <v>75</v>
      </c>
      <c r="I18" s="17"/>
      <c r="J18" s="117"/>
      <c r="K18" s="17"/>
    </row>
    <row r="19" spans="1:11">
      <c r="A19" s="17">
        <v>13</v>
      </c>
      <c r="B19" s="17"/>
      <c r="C19" s="98">
        <v>9539</v>
      </c>
      <c r="D19" s="135">
        <v>45890</v>
      </c>
      <c r="E19" s="99" t="s">
        <v>1007</v>
      </c>
      <c r="F19" s="100">
        <v>450000</v>
      </c>
      <c r="G19" s="101"/>
      <c r="H19" s="98" t="s">
        <v>75</v>
      </c>
      <c r="I19" s="17"/>
      <c r="J19" s="117"/>
      <c r="K19" s="17"/>
    </row>
    <row r="20" spans="1:11">
      <c r="A20" s="17">
        <v>14</v>
      </c>
      <c r="B20" s="17"/>
      <c r="C20" s="17">
        <v>9638</v>
      </c>
      <c r="D20" s="130">
        <v>45900</v>
      </c>
      <c r="E20" s="18" t="s">
        <v>1021</v>
      </c>
      <c r="F20" s="132">
        <v>850000</v>
      </c>
      <c r="G20" s="116"/>
      <c r="H20" s="17" t="s">
        <v>75</v>
      </c>
      <c r="I20" s="17"/>
      <c r="J20" s="117"/>
      <c r="K20" s="17"/>
    </row>
    <row r="21" spans="1:11">
      <c r="A21" s="17">
        <v>15</v>
      </c>
      <c r="B21" s="17"/>
      <c r="C21" s="17">
        <v>101</v>
      </c>
      <c r="D21" s="130" t="s">
        <v>1062</v>
      </c>
      <c r="E21" s="18" t="s">
        <v>259</v>
      </c>
      <c r="F21" s="132">
        <v>1190000</v>
      </c>
      <c r="G21" s="25"/>
      <c r="H21" s="17" t="s">
        <v>75</v>
      </c>
      <c r="I21" s="17"/>
      <c r="J21" s="117"/>
      <c r="K21" s="17"/>
    </row>
    <row r="22" spans="1:11" ht="28.5" customHeight="1">
      <c r="A22" s="17">
        <v>16</v>
      </c>
      <c r="B22" s="17"/>
      <c r="C22" s="17">
        <v>303</v>
      </c>
      <c r="D22" s="130">
        <v>45977</v>
      </c>
      <c r="E22" s="18" t="s">
        <v>1096</v>
      </c>
      <c r="F22" s="132">
        <v>2030000</v>
      </c>
      <c r="G22" s="25"/>
      <c r="H22" s="117" t="s">
        <v>75</v>
      </c>
      <c r="I22" s="17"/>
      <c r="J22" s="117"/>
      <c r="K22" s="17"/>
    </row>
    <row r="23" spans="1:11">
      <c r="A23" s="17">
        <v>17</v>
      </c>
      <c r="B23" s="17"/>
      <c r="C23" s="17">
        <v>615</v>
      </c>
      <c r="D23" s="130">
        <v>46018</v>
      </c>
      <c r="E23" s="18" t="s">
        <v>1143</v>
      </c>
      <c r="F23" s="132">
        <v>65000</v>
      </c>
      <c r="G23" s="25"/>
      <c r="H23" s="117" t="s">
        <v>75</v>
      </c>
      <c r="I23" s="17"/>
      <c r="J23" s="117"/>
      <c r="K23" s="17"/>
    </row>
    <row r="24" spans="1:11">
      <c r="A24" s="17">
        <v>18</v>
      </c>
      <c r="B24" s="17"/>
      <c r="C24" s="98">
        <v>668</v>
      </c>
      <c r="D24" s="135">
        <v>46082</v>
      </c>
      <c r="E24" s="99" t="s">
        <v>1162</v>
      </c>
      <c r="F24" s="100">
        <v>20000</v>
      </c>
      <c r="G24" s="101"/>
      <c r="H24" s="98" t="s">
        <v>75</v>
      </c>
      <c r="I24" s="17"/>
      <c r="J24" s="117"/>
      <c r="K24" s="17"/>
    </row>
    <row r="25" spans="1:11">
      <c r="A25" s="17">
        <v>19</v>
      </c>
      <c r="B25" s="17"/>
      <c r="C25" s="17">
        <v>960</v>
      </c>
      <c r="D25" s="130">
        <v>46358</v>
      </c>
      <c r="E25" s="18" t="s">
        <v>1205</v>
      </c>
      <c r="F25" s="132">
        <v>200000</v>
      </c>
      <c r="G25" s="25"/>
      <c r="H25" s="117" t="s">
        <v>75</v>
      </c>
      <c r="I25" s="17"/>
      <c r="J25" s="117"/>
      <c r="K25" s="17"/>
    </row>
    <row r="26" spans="1:11">
      <c r="A26" s="17">
        <v>20</v>
      </c>
      <c r="B26" s="17"/>
      <c r="C26" s="17">
        <v>1093</v>
      </c>
      <c r="D26" s="130">
        <v>46086</v>
      </c>
      <c r="E26" s="18" t="s">
        <v>1237</v>
      </c>
      <c r="F26" s="24">
        <v>520000</v>
      </c>
      <c r="G26" s="116"/>
      <c r="H26" s="17" t="s">
        <v>75</v>
      </c>
      <c r="I26" s="17"/>
      <c r="J26" s="117"/>
      <c r="K26" s="17"/>
    </row>
    <row r="27" spans="1:11">
      <c r="A27" s="17">
        <v>21</v>
      </c>
      <c r="B27" s="17"/>
      <c r="C27" s="17">
        <v>1158</v>
      </c>
      <c r="D27" s="17" t="s">
        <v>1241</v>
      </c>
      <c r="E27" s="18" t="s">
        <v>591</v>
      </c>
      <c r="F27" s="132">
        <v>300000</v>
      </c>
      <c r="G27" s="116"/>
      <c r="H27" s="17" t="s">
        <v>75</v>
      </c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16442500</v>
      </c>
      <c r="G37" s="120">
        <f>SUM(G7:G36)</f>
        <v>1250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4800-000000000000}"/>
  </hyperlinks>
  <pageMargins left="0.7" right="0.7" top="0.75" bottom="0.75" header="0.3" footer="0.3"/>
  <pageSetup paperSize="9" scale="67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K133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6640625" style="1" bestFit="1" customWidth="1"/>
    <col min="4" max="4" width="12.77734375" style="1" bestFit="1" customWidth="1"/>
    <col min="5" max="5" width="196.88671875" style="73" bestFit="1" customWidth="1"/>
    <col min="6" max="6" width="16.33203125" style="114" customWidth="1"/>
    <col min="7" max="7" width="10.5546875" style="79" bestFit="1" customWidth="1"/>
    <col min="8" max="8" width="13.44140625" style="1" bestFit="1" customWidth="1"/>
    <col min="9" max="9" width="9.44140625" style="1" bestFit="1" customWidth="1"/>
    <col min="10" max="10" width="14.2187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69</v>
      </c>
      <c r="B2" s="202" t="s">
        <v>35</v>
      </c>
      <c r="C2" s="203"/>
      <c r="D2" s="85"/>
      <c r="E2" s="86" t="s">
        <v>8</v>
      </c>
      <c r="F2" s="87">
        <v>1982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916</v>
      </c>
      <c r="D3" s="89"/>
      <c r="E3" s="86" t="s">
        <v>68</v>
      </c>
      <c r="F3" s="87" t="s">
        <v>72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2"/>
      <c r="B7" s="2" t="s">
        <v>3</v>
      </c>
      <c r="C7" s="2" t="s">
        <v>7</v>
      </c>
      <c r="D7" s="2" t="s">
        <v>8</v>
      </c>
      <c r="E7" s="3" t="s">
        <v>68</v>
      </c>
      <c r="F7" s="176" t="s">
        <v>69</v>
      </c>
      <c r="G7" s="8" t="s">
        <v>6</v>
      </c>
      <c r="H7" s="2" t="s">
        <v>2</v>
      </c>
      <c r="I7" s="2"/>
      <c r="J7" s="177" t="s">
        <v>1</v>
      </c>
      <c r="K7" s="2" t="s">
        <v>5</v>
      </c>
    </row>
    <row r="8" spans="1:11" ht="48.75" customHeight="1">
      <c r="A8" s="17">
        <v>1</v>
      </c>
      <c r="B8" s="17"/>
      <c r="C8" s="17" t="s">
        <v>262</v>
      </c>
      <c r="D8" s="130">
        <v>45263</v>
      </c>
      <c r="E8" s="18" t="s">
        <v>264</v>
      </c>
      <c r="F8" s="132">
        <v>1150000</v>
      </c>
      <c r="G8" s="25"/>
      <c r="H8" s="17"/>
      <c r="I8" s="17"/>
      <c r="J8" s="117"/>
      <c r="K8" s="17"/>
    </row>
    <row r="9" spans="1:11" ht="48.75" customHeight="1">
      <c r="A9" s="17">
        <v>2</v>
      </c>
      <c r="B9" s="17"/>
      <c r="C9" s="17" t="s">
        <v>262</v>
      </c>
      <c r="D9" s="130">
        <v>45263</v>
      </c>
      <c r="E9" s="18" t="s">
        <v>135</v>
      </c>
      <c r="F9" s="132">
        <v>135000</v>
      </c>
      <c r="G9" s="25"/>
      <c r="H9" s="17"/>
      <c r="I9" s="17"/>
      <c r="J9" s="117"/>
      <c r="K9" s="17"/>
    </row>
    <row r="10" spans="1:11" ht="48.75" customHeight="1">
      <c r="A10" s="17">
        <v>3</v>
      </c>
      <c r="B10" s="17"/>
      <c r="C10" s="17">
        <v>4742</v>
      </c>
      <c r="D10" s="130">
        <v>45203</v>
      </c>
      <c r="E10" s="18" t="s">
        <v>283</v>
      </c>
      <c r="F10" s="132">
        <v>125000</v>
      </c>
      <c r="G10" s="25"/>
      <c r="H10" s="17"/>
      <c r="I10" s="17"/>
      <c r="J10" s="117"/>
      <c r="K10" s="17"/>
    </row>
    <row r="11" spans="1:11" ht="48.75" customHeight="1">
      <c r="A11" s="17">
        <v>4</v>
      </c>
      <c r="B11" s="17"/>
      <c r="C11" s="17">
        <v>4742</v>
      </c>
      <c r="D11" s="130">
        <v>45203</v>
      </c>
      <c r="E11" s="18" t="s">
        <v>259</v>
      </c>
      <c r="F11" s="132"/>
      <c r="G11" s="25">
        <v>630</v>
      </c>
      <c r="H11" s="17"/>
      <c r="I11" s="17"/>
      <c r="J11" s="117"/>
      <c r="K11" s="17"/>
    </row>
    <row r="12" spans="1:11" ht="48.75" customHeight="1">
      <c r="A12" s="17">
        <v>5</v>
      </c>
      <c r="B12" s="17"/>
      <c r="C12" s="17">
        <v>5122</v>
      </c>
      <c r="D12" s="17" t="s">
        <v>313</v>
      </c>
      <c r="E12" s="18" t="s">
        <v>135</v>
      </c>
      <c r="F12" s="132">
        <v>50000</v>
      </c>
      <c r="G12" s="25"/>
      <c r="H12" s="17" t="s">
        <v>75</v>
      </c>
      <c r="I12" s="17"/>
      <c r="J12" s="117"/>
      <c r="K12" s="17"/>
    </row>
    <row r="13" spans="1:11" ht="48.75" customHeight="1">
      <c r="A13" s="17">
        <v>6</v>
      </c>
      <c r="B13" s="17"/>
      <c r="C13" s="17">
        <v>5122</v>
      </c>
      <c r="D13" s="17" t="s">
        <v>313</v>
      </c>
      <c r="E13" s="18" t="s">
        <v>317</v>
      </c>
      <c r="F13" s="132">
        <v>260000</v>
      </c>
      <c r="G13" s="25"/>
      <c r="H13" s="17" t="s">
        <v>75</v>
      </c>
      <c r="I13" s="17"/>
      <c r="J13" s="117"/>
      <c r="K13" s="17"/>
    </row>
    <row r="14" spans="1:11" ht="48.75" customHeight="1">
      <c r="A14" s="17">
        <v>7</v>
      </c>
      <c r="B14" s="17"/>
      <c r="C14" s="17">
        <v>5488</v>
      </c>
      <c r="D14" s="17" t="s">
        <v>341</v>
      </c>
      <c r="E14" s="18" t="s">
        <v>342</v>
      </c>
      <c r="F14" s="132">
        <v>675000</v>
      </c>
      <c r="G14" s="25"/>
      <c r="H14" s="17" t="s">
        <v>75</v>
      </c>
      <c r="I14" s="17"/>
      <c r="J14" s="117"/>
      <c r="K14" s="17"/>
    </row>
    <row r="15" spans="1:11" ht="48.75" customHeight="1">
      <c r="A15" s="17">
        <v>8</v>
      </c>
      <c r="B15" s="17"/>
      <c r="C15" s="17">
        <v>7992</v>
      </c>
      <c r="D15" s="130">
        <v>45722</v>
      </c>
      <c r="E15" s="18" t="s">
        <v>259</v>
      </c>
      <c r="F15" s="24">
        <v>755000</v>
      </c>
      <c r="G15" s="116"/>
      <c r="H15" s="17" t="s">
        <v>75</v>
      </c>
      <c r="I15" s="17"/>
      <c r="J15" s="117"/>
      <c r="K15" s="17"/>
    </row>
    <row r="16" spans="1:11" ht="48.75" customHeight="1">
      <c r="A16" s="17">
        <v>9</v>
      </c>
      <c r="B16" s="17"/>
      <c r="C16" s="17">
        <v>8152</v>
      </c>
      <c r="D16" s="130">
        <v>45760</v>
      </c>
      <c r="E16" s="18" t="s">
        <v>748</v>
      </c>
      <c r="F16" s="132">
        <v>90000</v>
      </c>
      <c r="G16" s="25"/>
      <c r="H16" s="117" t="s">
        <v>75</v>
      </c>
      <c r="I16" s="17"/>
      <c r="J16" s="117"/>
      <c r="K16" s="17"/>
    </row>
    <row r="17" spans="1:11" ht="48.75" customHeight="1">
      <c r="A17" s="17">
        <v>10</v>
      </c>
      <c r="B17" s="17"/>
      <c r="C17" s="17">
        <v>8713</v>
      </c>
      <c r="D17" s="130">
        <v>45777</v>
      </c>
      <c r="E17" s="18" t="s">
        <v>763</v>
      </c>
      <c r="F17" s="132">
        <v>150000</v>
      </c>
      <c r="G17" s="25"/>
      <c r="H17" s="117" t="s">
        <v>75</v>
      </c>
      <c r="I17" s="17"/>
      <c r="J17" s="117"/>
      <c r="K17" s="17"/>
    </row>
    <row r="18" spans="1:11" ht="48.75" customHeight="1">
      <c r="A18" s="17">
        <v>11</v>
      </c>
      <c r="B18" s="17"/>
      <c r="C18" s="17">
        <v>9087</v>
      </c>
      <c r="D18" s="130">
        <v>45836</v>
      </c>
      <c r="E18" s="18" t="s">
        <v>805</v>
      </c>
      <c r="F18" s="132">
        <v>297000</v>
      </c>
      <c r="G18" s="25"/>
      <c r="H18" s="17" t="s">
        <v>75</v>
      </c>
      <c r="I18" s="17"/>
      <c r="J18" s="117"/>
      <c r="K18" s="17"/>
    </row>
    <row r="19" spans="1:11">
      <c r="A19" s="17">
        <v>12</v>
      </c>
      <c r="B19" s="17"/>
      <c r="C19" s="17">
        <v>9434</v>
      </c>
      <c r="D19" s="130">
        <v>45874</v>
      </c>
      <c r="E19" s="18" t="s">
        <v>995</v>
      </c>
      <c r="F19" s="132">
        <v>3150000</v>
      </c>
      <c r="G19" s="25"/>
      <c r="H19" s="17" t="s">
        <v>75</v>
      </c>
      <c r="I19" s="17"/>
      <c r="J19" s="117"/>
      <c r="K19" s="17"/>
    </row>
    <row r="20" spans="1:11">
      <c r="A20" s="17">
        <v>13</v>
      </c>
      <c r="B20" s="17"/>
      <c r="C20" s="98">
        <v>9539</v>
      </c>
      <c r="D20" s="135">
        <v>45890</v>
      </c>
      <c r="E20" s="99" t="s">
        <v>1015</v>
      </c>
      <c r="F20" s="100">
        <v>935000</v>
      </c>
      <c r="G20" s="101"/>
      <c r="H20" s="102" t="s">
        <v>75</v>
      </c>
      <c r="I20" s="17"/>
      <c r="J20" s="117"/>
      <c r="K20" s="17"/>
    </row>
    <row r="21" spans="1:11" ht="34.5" customHeight="1">
      <c r="A21" s="17">
        <v>14</v>
      </c>
      <c r="B21" s="17"/>
      <c r="C21" s="17">
        <v>101</v>
      </c>
      <c r="D21" s="130" t="s">
        <v>1062</v>
      </c>
      <c r="E21" s="18" t="s">
        <v>1064</v>
      </c>
      <c r="F21" s="132">
        <v>185000</v>
      </c>
      <c r="G21" s="25"/>
      <c r="H21" s="17" t="s">
        <v>75</v>
      </c>
      <c r="I21" s="17"/>
      <c r="J21" s="117"/>
      <c r="K21" s="17"/>
    </row>
    <row r="22" spans="1:11" ht="32.25" customHeight="1">
      <c r="A22" s="17">
        <v>15</v>
      </c>
      <c r="B22" s="17"/>
      <c r="C22" s="17">
        <v>101</v>
      </c>
      <c r="D22" s="130" t="s">
        <v>1062</v>
      </c>
      <c r="E22" s="18" t="s">
        <v>1079</v>
      </c>
      <c r="F22" s="132">
        <v>7300000</v>
      </c>
      <c r="G22" s="25"/>
      <c r="H22" s="17" t="s">
        <v>75</v>
      </c>
      <c r="I22" s="17"/>
      <c r="J22" s="117"/>
      <c r="K22" s="17"/>
    </row>
    <row r="23" spans="1:11">
      <c r="A23" s="17">
        <v>16</v>
      </c>
      <c r="B23" s="17"/>
      <c r="C23" s="17">
        <v>303</v>
      </c>
      <c r="D23" s="130">
        <v>45977</v>
      </c>
      <c r="E23" s="18" t="s">
        <v>1100</v>
      </c>
      <c r="F23" s="132">
        <v>700000</v>
      </c>
      <c r="G23" s="25"/>
      <c r="H23" s="17" t="s">
        <v>75</v>
      </c>
      <c r="I23" s="17"/>
      <c r="J23" s="117"/>
      <c r="K23" s="17"/>
    </row>
    <row r="24" spans="1:11">
      <c r="A24" s="17">
        <v>17</v>
      </c>
      <c r="B24" s="17"/>
      <c r="C24" s="17">
        <v>343</v>
      </c>
      <c r="D24" s="130">
        <v>45983</v>
      </c>
      <c r="E24" s="18" t="s">
        <v>1110</v>
      </c>
      <c r="F24" s="132">
        <v>6670000</v>
      </c>
      <c r="G24" s="25"/>
      <c r="H24" s="17" t="s">
        <v>75</v>
      </c>
      <c r="I24" s="17"/>
      <c r="J24" s="117"/>
      <c r="K24" s="17"/>
    </row>
    <row r="25" spans="1:11">
      <c r="A25" s="17">
        <v>18</v>
      </c>
      <c r="B25" s="17"/>
      <c r="C25" s="98">
        <v>668</v>
      </c>
      <c r="D25" s="135">
        <v>46082</v>
      </c>
      <c r="E25" s="99" t="s">
        <v>1167</v>
      </c>
      <c r="F25" s="100">
        <v>625000</v>
      </c>
      <c r="G25" s="101"/>
      <c r="H25" s="98" t="s">
        <v>75</v>
      </c>
      <c r="I25" s="17"/>
      <c r="J25" s="117"/>
      <c r="K25" s="17"/>
    </row>
    <row r="26" spans="1:11">
      <c r="A26" s="17">
        <v>19</v>
      </c>
      <c r="B26" s="17"/>
      <c r="C26" s="17">
        <v>883</v>
      </c>
      <c r="D26" s="17" t="s">
        <v>1191</v>
      </c>
      <c r="E26" s="18" t="s">
        <v>1193</v>
      </c>
      <c r="F26" s="132">
        <v>540000</v>
      </c>
      <c r="G26" s="116"/>
      <c r="H26" s="17" t="s">
        <v>75</v>
      </c>
      <c r="I26" s="17"/>
      <c r="J26" s="117"/>
      <c r="K26" s="17"/>
    </row>
    <row r="27" spans="1:11">
      <c r="A27" s="17">
        <v>20</v>
      </c>
      <c r="B27" s="17"/>
      <c r="C27" s="17">
        <v>1093</v>
      </c>
      <c r="D27" s="130">
        <v>46086</v>
      </c>
      <c r="E27" s="18" t="s">
        <v>1239</v>
      </c>
      <c r="F27" s="132">
        <v>260000</v>
      </c>
      <c r="G27" s="116"/>
      <c r="H27" s="17" t="s">
        <v>75</v>
      </c>
      <c r="I27" s="17"/>
      <c r="J27" s="117"/>
      <c r="K27" s="17"/>
    </row>
    <row r="28" spans="1:11">
      <c r="A28" s="17">
        <v>21</v>
      </c>
      <c r="B28" s="17"/>
      <c r="C28" s="17"/>
      <c r="D28" s="17"/>
      <c r="E28" s="18"/>
      <c r="F28" s="132"/>
      <c r="G28" s="116"/>
      <c r="H28" s="17"/>
      <c r="I28" s="17"/>
      <c r="J28" s="117"/>
      <c r="K28" s="17"/>
    </row>
    <row r="29" spans="1:11">
      <c r="A29" s="17">
        <v>22</v>
      </c>
      <c r="B29" s="17"/>
      <c r="C29" s="17"/>
      <c r="D29" s="17"/>
      <c r="E29" s="18"/>
      <c r="F29" s="132"/>
      <c r="G29" s="116"/>
      <c r="H29" s="17"/>
      <c r="I29" s="17"/>
      <c r="J29" s="117"/>
      <c r="K29" s="17"/>
    </row>
    <row r="30" spans="1:11">
      <c r="A30" s="17">
        <v>23</v>
      </c>
      <c r="B30" s="17"/>
      <c r="C30" s="17"/>
      <c r="D30" s="17"/>
      <c r="E30" s="18"/>
      <c r="F30" s="132"/>
      <c r="G30" s="116"/>
      <c r="H30" s="17"/>
      <c r="I30" s="17"/>
      <c r="J30" s="117"/>
      <c r="K30" s="17"/>
    </row>
    <row r="31" spans="1:11">
      <c r="A31" s="17">
        <v>24</v>
      </c>
      <c r="B31" s="17"/>
      <c r="C31" s="17"/>
      <c r="D31" s="17"/>
      <c r="E31" s="18"/>
      <c r="F31" s="132"/>
      <c r="G31" s="116"/>
      <c r="H31" s="17"/>
      <c r="I31" s="17"/>
      <c r="J31" s="117"/>
      <c r="K31" s="17"/>
    </row>
    <row r="32" spans="1:11">
      <c r="A32" s="17">
        <v>25</v>
      </c>
      <c r="B32" s="17"/>
      <c r="C32" s="17"/>
      <c r="D32" s="17"/>
      <c r="E32" s="18"/>
      <c r="F32" s="132"/>
      <c r="G32" s="116"/>
      <c r="H32" s="17"/>
      <c r="I32" s="17"/>
      <c r="J32" s="117"/>
      <c r="K32" s="17"/>
    </row>
    <row r="33" spans="1:11">
      <c r="A33" s="17">
        <v>26</v>
      </c>
      <c r="B33" s="17"/>
      <c r="C33" s="17"/>
      <c r="D33" s="17"/>
      <c r="E33" s="18"/>
      <c r="F33" s="132"/>
      <c r="G33" s="116"/>
      <c r="H33" s="17"/>
      <c r="I33" s="17"/>
      <c r="J33" s="117"/>
      <c r="K33" s="17"/>
    </row>
    <row r="34" spans="1:11">
      <c r="A34" s="17">
        <v>27</v>
      </c>
      <c r="B34" s="17"/>
      <c r="C34" s="17"/>
      <c r="D34" s="17"/>
      <c r="E34" s="18"/>
      <c r="F34" s="132"/>
      <c r="G34" s="116"/>
      <c r="H34" s="17"/>
      <c r="I34" s="17"/>
      <c r="J34" s="117"/>
      <c r="K34" s="17"/>
    </row>
    <row r="35" spans="1:11">
      <c r="A35" s="17">
        <v>28</v>
      </c>
      <c r="B35" s="17"/>
      <c r="C35" s="17"/>
      <c r="D35" s="17"/>
      <c r="E35" s="18"/>
      <c r="F35" s="132"/>
      <c r="G35" s="116"/>
      <c r="H35" s="17"/>
      <c r="I35" s="17"/>
      <c r="J35" s="117"/>
      <c r="K35" s="17"/>
    </row>
    <row r="36" spans="1:11">
      <c r="A36" s="17">
        <v>29</v>
      </c>
      <c r="B36" s="17"/>
      <c r="C36" s="17"/>
      <c r="D36" s="17"/>
      <c r="E36" s="18"/>
      <c r="F36" s="132"/>
      <c r="G36" s="116"/>
      <c r="H36" s="17"/>
      <c r="I36" s="17"/>
      <c r="J36" s="117"/>
      <c r="K36" s="17"/>
    </row>
    <row r="37" spans="1:11">
      <c r="A37" s="17">
        <v>30</v>
      </c>
      <c r="B37" s="17"/>
      <c r="C37" s="17"/>
      <c r="D37" s="17"/>
      <c r="E37" s="18"/>
      <c r="F37" s="132"/>
      <c r="G37" s="116"/>
      <c r="H37" s="17"/>
      <c r="I37" s="17"/>
      <c r="J37" s="117"/>
      <c r="K37" s="17"/>
    </row>
    <row r="38" spans="1:11">
      <c r="A38" s="17">
        <v>31</v>
      </c>
      <c r="B38" s="17"/>
      <c r="C38" s="17"/>
      <c r="D38" s="17"/>
      <c r="E38" s="18"/>
      <c r="F38" s="132"/>
      <c r="G38" s="116"/>
      <c r="H38" s="17"/>
      <c r="I38" s="17"/>
      <c r="J38" s="117"/>
      <c r="K38" s="17"/>
    </row>
    <row r="39" spans="1:11">
      <c r="A39" s="17">
        <v>32</v>
      </c>
      <c r="B39" s="17"/>
      <c r="C39" s="17"/>
      <c r="D39" s="17"/>
      <c r="E39" s="18"/>
      <c r="F39" s="132"/>
      <c r="G39" s="116"/>
      <c r="H39" s="17"/>
      <c r="I39" s="17"/>
      <c r="J39" s="117"/>
      <c r="K39" s="17"/>
    </row>
    <row r="40" spans="1:11">
      <c r="A40" s="17">
        <v>33</v>
      </c>
      <c r="B40" s="17"/>
      <c r="C40" s="17"/>
      <c r="D40" s="17"/>
      <c r="E40" s="18"/>
      <c r="F40" s="132"/>
      <c r="G40" s="116"/>
      <c r="H40" s="17"/>
      <c r="I40" s="17"/>
      <c r="J40" s="117"/>
      <c r="K40" s="17"/>
    </row>
    <row r="41" spans="1:11">
      <c r="A41" s="17">
        <v>34</v>
      </c>
      <c r="B41" s="17"/>
      <c r="C41" s="17"/>
      <c r="D41" s="17"/>
      <c r="E41" s="18"/>
      <c r="F41" s="132"/>
      <c r="G41" s="116"/>
      <c r="H41" s="17"/>
      <c r="I41" s="17"/>
      <c r="J41" s="117"/>
      <c r="K41" s="17"/>
    </row>
    <row r="42" spans="1:11">
      <c r="A42" s="17">
        <v>35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08"/>
      <c r="B43" s="204" t="s">
        <v>98</v>
      </c>
      <c r="C43" s="204"/>
      <c r="D43" s="108"/>
      <c r="E43" s="118"/>
      <c r="F43" s="119">
        <f>SUM(F7:F42)</f>
        <v>24052000</v>
      </c>
      <c r="G43" s="120">
        <f>SUM(G7:G42)</f>
        <v>630</v>
      </c>
      <c r="H43" s="108"/>
      <c r="I43" s="108"/>
      <c r="J43" s="121"/>
      <c r="K43" s="108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  <row r="119" spans="10:10">
      <c r="J119" s="115"/>
    </row>
    <row r="120" spans="10:10">
      <c r="J120" s="115"/>
    </row>
    <row r="121" spans="10:10">
      <c r="J121" s="115"/>
    </row>
    <row r="122" spans="10:10">
      <c r="J122" s="115"/>
    </row>
    <row r="123" spans="10:10">
      <c r="J123" s="115"/>
    </row>
    <row r="124" spans="10:10">
      <c r="J124" s="115"/>
    </row>
    <row r="125" spans="10:10">
      <c r="J125" s="115"/>
    </row>
    <row r="126" spans="10:10">
      <c r="J126" s="115"/>
    </row>
    <row r="127" spans="10:10">
      <c r="J127" s="115"/>
    </row>
    <row r="128" spans="10:10">
      <c r="J128" s="115"/>
    </row>
    <row r="129" spans="10:10">
      <c r="J129" s="115"/>
    </row>
    <row r="130" spans="10:10">
      <c r="J130" s="115"/>
    </row>
    <row r="131" spans="10:10">
      <c r="J131" s="115"/>
    </row>
    <row r="132" spans="10:10">
      <c r="J132" s="115"/>
    </row>
    <row r="133" spans="10:10">
      <c r="J133" s="115"/>
    </row>
  </sheetData>
  <mergeCells count="3">
    <mergeCell ref="A1:K1"/>
    <mergeCell ref="B2:C2"/>
    <mergeCell ref="B43:C43"/>
  </mergeCells>
  <hyperlinks>
    <hyperlink ref="K2" location="الاليات!A1" display="الاليات " xr:uid="{00000000-0004-0000-4900-000000000000}"/>
  </hyperlinks>
  <pageMargins left="0.7" right="0.7" top="0.75" bottom="0.75" header="0.3" footer="0.3"/>
  <pageSetup paperSize="9" scale="4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44140625" style="1" bestFit="1" customWidth="1"/>
    <col min="4" max="4" width="12.77734375" style="1" bestFit="1" customWidth="1"/>
    <col min="5" max="5" width="12.55468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70</v>
      </c>
      <c r="B2" s="202" t="s">
        <v>46</v>
      </c>
      <c r="C2" s="203"/>
      <c r="D2" s="85"/>
      <c r="E2" s="86" t="s">
        <v>8</v>
      </c>
      <c r="F2" s="87">
        <v>2009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5" t="s">
        <v>918</v>
      </c>
      <c r="D3" s="89"/>
      <c r="E3" s="86" t="s">
        <v>68</v>
      </c>
      <c r="F3" s="91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8"/>
      <c r="C7" s="18" t="s">
        <v>312</v>
      </c>
      <c r="D7" s="133">
        <v>45022</v>
      </c>
      <c r="E7" s="18" t="s">
        <v>135</v>
      </c>
      <c r="F7" s="134">
        <v>625000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8"/>
      <c r="C8" s="17">
        <v>6263</v>
      </c>
      <c r="D8" s="130">
        <v>45325</v>
      </c>
      <c r="E8" s="18" t="s">
        <v>427</v>
      </c>
      <c r="F8" s="132">
        <v>50000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98">
        <v>6488</v>
      </c>
      <c r="D9" s="135">
        <v>45601</v>
      </c>
      <c r="E9" s="99" t="s">
        <v>259</v>
      </c>
      <c r="F9" s="100"/>
      <c r="G9" s="101">
        <v>450</v>
      </c>
      <c r="H9" s="98" t="s">
        <v>75</v>
      </c>
      <c r="I9" s="17"/>
      <c r="J9" s="117"/>
      <c r="K9" s="17"/>
    </row>
    <row r="10" spans="1:11" ht="52.2">
      <c r="A10" s="17">
        <v>4</v>
      </c>
      <c r="B10" s="18"/>
      <c r="C10" s="17">
        <v>7272</v>
      </c>
      <c r="D10" s="130">
        <v>45599</v>
      </c>
      <c r="E10" s="131" t="s">
        <v>606</v>
      </c>
      <c r="F10" s="132">
        <v>150000</v>
      </c>
      <c r="G10" s="116"/>
      <c r="H10" s="17" t="s">
        <v>75</v>
      </c>
      <c r="I10" s="17"/>
      <c r="J10" s="117"/>
      <c r="K10" s="17"/>
    </row>
    <row r="11" spans="1:11">
      <c r="A11" s="17">
        <v>5</v>
      </c>
      <c r="B11" s="18"/>
      <c r="C11" s="17">
        <v>7348</v>
      </c>
      <c r="D11" s="130">
        <v>45619</v>
      </c>
      <c r="E11" s="131" t="s">
        <v>618</v>
      </c>
      <c r="F11" s="132">
        <v>625000</v>
      </c>
      <c r="G11" s="116"/>
      <c r="H11" s="17" t="s">
        <v>75</v>
      </c>
      <c r="I11" s="17"/>
      <c r="J11" s="117"/>
      <c r="K11" s="17"/>
    </row>
    <row r="12" spans="1:11">
      <c r="A12" s="17">
        <v>6</v>
      </c>
      <c r="B12" s="18"/>
      <c r="C12" s="17">
        <v>7430</v>
      </c>
      <c r="D12" s="130">
        <v>45631</v>
      </c>
      <c r="E12" s="18" t="s">
        <v>635</v>
      </c>
      <c r="F12" s="24">
        <v>180000</v>
      </c>
      <c r="G12" s="116"/>
      <c r="H12" s="17" t="s">
        <v>75</v>
      </c>
      <c r="I12" s="17"/>
      <c r="J12" s="117"/>
      <c r="K12" s="17"/>
    </row>
    <row r="13" spans="1:11" ht="69.599999999999994">
      <c r="A13" s="17">
        <v>7</v>
      </c>
      <c r="B13" s="18"/>
      <c r="C13" s="18">
        <v>303</v>
      </c>
      <c r="D13" s="133">
        <v>45977</v>
      </c>
      <c r="E13" s="18" t="s">
        <v>1101</v>
      </c>
      <c r="F13" s="134">
        <v>695000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8"/>
      <c r="C14" s="18"/>
      <c r="D14" s="18"/>
      <c r="E14" s="18"/>
      <c r="F14" s="134"/>
      <c r="G14" s="25"/>
      <c r="H14" s="17"/>
      <c r="I14" s="17"/>
      <c r="J14" s="117"/>
      <c r="K14" s="17"/>
    </row>
    <row r="15" spans="1:11">
      <c r="A15" s="17">
        <v>9</v>
      </c>
      <c r="B15" s="18"/>
      <c r="C15" s="18"/>
      <c r="D15" s="18"/>
      <c r="E15" s="18"/>
      <c r="F15" s="134"/>
      <c r="G15" s="25"/>
      <c r="H15" s="17"/>
      <c r="I15" s="17"/>
      <c r="J15" s="117"/>
      <c r="K15" s="17"/>
    </row>
    <row r="16" spans="1:11">
      <c r="A16" s="17">
        <v>10</v>
      </c>
      <c r="B16" s="18"/>
      <c r="C16" s="18"/>
      <c r="D16" s="18"/>
      <c r="E16" s="18"/>
      <c r="F16" s="134"/>
      <c r="G16" s="25"/>
      <c r="H16" s="17"/>
      <c r="I16" s="17"/>
      <c r="J16" s="117"/>
      <c r="K16" s="17"/>
    </row>
    <row r="17" spans="1:11">
      <c r="A17" s="17">
        <v>11</v>
      </c>
      <c r="B17" s="18"/>
      <c r="C17" s="18"/>
      <c r="D17" s="18"/>
      <c r="E17" s="18"/>
      <c r="F17" s="134"/>
      <c r="G17" s="25"/>
      <c r="H17" s="17"/>
      <c r="I17" s="17"/>
      <c r="J17" s="117"/>
      <c r="K17" s="17"/>
    </row>
    <row r="18" spans="1:11">
      <c r="A18" s="17">
        <v>12</v>
      </c>
      <c r="B18" s="18"/>
      <c r="C18" s="18"/>
      <c r="D18" s="18"/>
      <c r="E18" s="18"/>
      <c r="F18" s="134"/>
      <c r="G18" s="25"/>
      <c r="H18" s="17"/>
      <c r="I18" s="17"/>
      <c r="J18" s="117"/>
      <c r="K18" s="17"/>
    </row>
    <row r="19" spans="1:11">
      <c r="A19" s="17">
        <v>13</v>
      </c>
      <c r="B19" s="18"/>
      <c r="C19" s="18"/>
      <c r="D19" s="18"/>
      <c r="E19" s="18"/>
      <c r="F19" s="134"/>
      <c r="G19" s="25"/>
      <c r="H19" s="17"/>
      <c r="I19" s="17"/>
      <c r="J19" s="117"/>
      <c r="K19" s="17"/>
    </row>
    <row r="20" spans="1:11">
      <c r="A20" s="17">
        <v>14</v>
      </c>
      <c r="B20" s="18"/>
      <c r="C20" s="18"/>
      <c r="D20" s="18"/>
      <c r="E20" s="18"/>
      <c r="F20" s="134"/>
      <c r="G20" s="25"/>
      <c r="H20" s="17"/>
      <c r="I20" s="17"/>
      <c r="J20" s="117"/>
      <c r="K20" s="17"/>
    </row>
    <row r="21" spans="1:11">
      <c r="A21" s="17">
        <v>15</v>
      </c>
      <c r="B21" s="18"/>
      <c r="C21" s="18"/>
      <c r="D21" s="18"/>
      <c r="E21" s="18"/>
      <c r="F21" s="134"/>
      <c r="G21" s="25"/>
      <c r="H21" s="17"/>
      <c r="I21" s="17"/>
      <c r="J21" s="117"/>
      <c r="K21" s="17"/>
    </row>
    <row r="22" spans="1:11">
      <c r="A22" s="17">
        <v>16</v>
      </c>
      <c r="B22" s="18"/>
      <c r="C22" s="18"/>
      <c r="D22" s="18"/>
      <c r="E22" s="18"/>
      <c r="F22" s="134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08"/>
      <c r="B31" s="204" t="s">
        <v>98</v>
      </c>
      <c r="C31" s="204"/>
      <c r="D31" s="108"/>
      <c r="E31" s="118"/>
      <c r="F31" s="119">
        <f>SUM(F7:F30)</f>
        <v>2325000</v>
      </c>
      <c r="G31" s="120">
        <f>SUM(G7:G30)</f>
        <v>450</v>
      </c>
      <c r="H31" s="108"/>
      <c r="I31" s="108"/>
      <c r="J31" s="121"/>
      <c r="K31" s="108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autoFilter ref="E1:E35" xr:uid="{00000000-0009-0000-0000-00004A000000}"/>
  <mergeCells count="3">
    <mergeCell ref="A1:K1"/>
    <mergeCell ref="B2:C2"/>
    <mergeCell ref="B31:C31"/>
  </mergeCells>
  <hyperlinks>
    <hyperlink ref="K2" location="الاليات!A1" display="الاليات " xr:uid="{00000000-0004-0000-4A00-000000000000}"/>
  </hyperlinks>
  <pageMargins left="0.7" right="0.7" top="0.75" bottom="0.75" header="0.3" footer="0.3"/>
  <pageSetup paperSize="9" scale="72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88671875" style="1" bestFit="1" customWidth="1"/>
    <col min="4" max="4" width="12.77734375" style="1" bestFit="1" customWidth="1"/>
    <col min="5" max="5" width="29" style="73" bestFit="1" customWidth="1"/>
    <col min="6" max="6" width="16.33203125" style="114" bestFit="1" customWidth="1"/>
    <col min="7" max="7" width="7.664062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71</v>
      </c>
      <c r="B2" s="202" t="s">
        <v>179</v>
      </c>
      <c r="C2" s="203"/>
      <c r="D2" s="138"/>
      <c r="E2" s="86" t="s">
        <v>8</v>
      </c>
      <c r="F2" s="87">
        <v>2008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919</v>
      </c>
      <c r="D3" s="35"/>
      <c r="E3" s="86" t="s">
        <v>68</v>
      </c>
      <c r="F3" s="140" t="s">
        <v>826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81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186</v>
      </c>
      <c r="C7" s="17"/>
      <c r="D7" s="174">
        <v>44951</v>
      </c>
      <c r="E7" s="18" t="s">
        <v>214</v>
      </c>
      <c r="F7" s="132">
        <v>147500</v>
      </c>
      <c r="G7" s="25"/>
      <c r="H7" s="17" t="s">
        <v>123</v>
      </c>
      <c r="I7" s="17"/>
      <c r="J7" s="117"/>
      <c r="K7" s="17"/>
    </row>
    <row r="8" spans="1:11" ht="69.599999999999994">
      <c r="A8" s="17">
        <v>2</v>
      </c>
      <c r="B8" s="17" t="s">
        <v>186</v>
      </c>
      <c r="C8" s="17"/>
      <c r="D8" s="174">
        <v>44952</v>
      </c>
      <c r="E8" s="18" t="s">
        <v>213</v>
      </c>
      <c r="F8" s="132">
        <v>642000</v>
      </c>
      <c r="G8" s="25"/>
      <c r="H8" s="17" t="s">
        <v>123</v>
      </c>
      <c r="I8" s="17"/>
      <c r="J8" s="117"/>
      <c r="K8" s="17"/>
    </row>
    <row r="9" spans="1:11" ht="52.2">
      <c r="A9" s="17">
        <v>3</v>
      </c>
      <c r="B9" s="17" t="s">
        <v>186</v>
      </c>
      <c r="C9" s="17"/>
      <c r="D9" s="174">
        <v>44952</v>
      </c>
      <c r="E9" s="18" t="s">
        <v>212</v>
      </c>
      <c r="F9" s="132">
        <v>96000</v>
      </c>
      <c r="G9" s="25"/>
      <c r="H9" s="17" t="s">
        <v>123</v>
      </c>
      <c r="I9" s="17"/>
      <c r="J9" s="117"/>
      <c r="K9" s="17"/>
    </row>
    <row r="10" spans="1:11" ht="52.2">
      <c r="A10" s="17">
        <v>4</v>
      </c>
      <c r="B10" s="17" t="s">
        <v>75</v>
      </c>
      <c r="C10" s="17">
        <v>4560</v>
      </c>
      <c r="D10" s="17" t="s">
        <v>257</v>
      </c>
      <c r="E10" s="18" t="s">
        <v>453</v>
      </c>
      <c r="F10" s="132">
        <v>15000</v>
      </c>
      <c r="G10" s="25">
        <v>1700</v>
      </c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 t="s">
        <v>300</v>
      </c>
      <c r="D11" s="130">
        <v>45082</v>
      </c>
      <c r="E11" s="18" t="s">
        <v>447</v>
      </c>
      <c r="F11" s="132">
        <v>200000</v>
      </c>
      <c r="G11" s="25"/>
      <c r="H11" s="17" t="s">
        <v>75</v>
      </c>
      <c r="I11" s="17"/>
      <c r="J11" s="117"/>
      <c r="K11" s="17"/>
    </row>
    <row r="12" spans="1:11" ht="34.799999999999997">
      <c r="A12" s="17">
        <v>6</v>
      </c>
      <c r="B12" s="17"/>
      <c r="C12" s="17">
        <v>5426</v>
      </c>
      <c r="D12" s="17" t="s">
        <v>340</v>
      </c>
      <c r="E12" s="18" t="s">
        <v>460</v>
      </c>
      <c r="F12" s="132">
        <v>250000</v>
      </c>
      <c r="G12" s="25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>
        <v>5792</v>
      </c>
      <c r="D13" s="17" t="s">
        <v>373</v>
      </c>
      <c r="E13" s="18" t="s">
        <v>374</v>
      </c>
      <c r="F13" s="132">
        <v>825000</v>
      </c>
      <c r="G13" s="25"/>
      <c r="H13" s="17" t="s">
        <v>75</v>
      </c>
      <c r="I13" s="17"/>
      <c r="J13" s="117"/>
      <c r="K13" s="17"/>
    </row>
    <row r="14" spans="1:11" ht="121.8">
      <c r="A14" s="17">
        <v>8</v>
      </c>
      <c r="B14" s="17"/>
      <c r="C14" s="17">
        <v>6049</v>
      </c>
      <c r="D14" s="17" t="s">
        <v>401</v>
      </c>
      <c r="E14" s="18" t="s">
        <v>439</v>
      </c>
      <c r="F14" s="132">
        <v>1105000</v>
      </c>
      <c r="G14" s="25">
        <v>1500</v>
      </c>
      <c r="H14" s="17" t="s">
        <v>75</v>
      </c>
      <c r="I14" s="17"/>
      <c r="J14" s="117"/>
      <c r="K14" s="17"/>
    </row>
    <row r="15" spans="1:11" ht="34.799999999999997">
      <c r="A15" s="17">
        <v>9</v>
      </c>
      <c r="B15" s="17"/>
      <c r="C15" s="17">
        <v>6049</v>
      </c>
      <c r="D15" s="17" t="s">
        <v>401</v>
      </c>
      <c r="E15" s="18" t="s">
        <v>440</v>
      </c>
      <c r="F15" s="132">
        <v>2175000</v>
      </c>
      <c r="G15" s="25"/>
      <c r="H15" s="17" t="s">
        <v>75</v>
      </c>
      <c r="I15" s="17"/>
      <c r="J15" s="117"/>
      <c r="K15" s="17"/>
    </row>
    <row r="16" spans="1:11" ht="34.799999999999997">
      <c r="A16" s="17">
        <v>10</v>
      </c>
      <c r="B16" s="17"/>
      <c r="C16" s="17">
        <v>6049</v>
      </c>
      <c r="D16" s="17" t="s">
        <v>401</v>
      </c>
      <c r="E16" s="18" t="s">
        <v>441</v>
      </c>
      <c r="F16" s="132">
        <v>3150000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6145</v>
      </c>
      <c r="D17" s="130" t="s">
        <v>412</v>
      </c>
      <c r="E17" s="18" t="s">
        <v>331</v>
      </c>
      <c r="F17" s="132">
        <v>540000</v>
      </c>
      <c r="G17" s="25"/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17">
        <v>6145</v>
      </c>
      <c r="D18" s="130" t="s">
        <v>412</v>
      </c>
      <c r="E18" s="18" t="s">
        <v>331</v>
      </c>
      <c r="F18" s="132">
        <v>233000</v>
      </c>
      <c r="G18" s="25"/>
      <c r="H18" s="17" t="s">
        <v>75</v>
      </c>
      <c r="I18" s="17"/>
      <c r="J18" s="117"/>
      <c r="K18" s="17"/>
    </row>
    <row r="19" spans="1:11">
      <c r="A19" s="17">
        <v>13</v>
      </c>
      <c r="B19" s="17"/>
      <c r="C19" s="17">
        <v>7992</v>
      </c>
      <c r="D19" s="130">
        <v>45722</v>
      </c>
      <c r="E19" s="18" t="s">
        <v>682</v>
      </c>
      <c r="F19" s="24">
        <v>315000</v>
      </c>
      <c r="G19" s="116"/>
      <c r="H19" s="17" t="s">
        <v>75</v>
      </c>
      <c r="I19" s="17"/>
      <c r="J19" s="117"/>
      <c r="K19" s="17"/>
    </row>
    <row r="20" spans="1:11">
      <c r="A20" s="17">
        <v>14</v>
      </c>
      <c r="B20" s="17"/>
      <c r="C20" s="98">
        <v>8062</v>
      </c>
      <c r="D20" s="135">
        <v>45739</v>
      </c>
      <c r="E20" s="99" t="s">
        <v>739</v>
      </c>
      <c r="F20" s="100">
        <v>228000</v>
      </c>
      <c r="G20" s="101"/>
      <c r="H20" s="98" t="s">
        <v>75</v>
      </c>
      <c r="I20" s="17"/>
      <c r="J20" s="117"/>
      <c r="K20" s="17"/>
    </row>
    <row r="21" spans="1:11" ht="52.2">
      <c r="A21" s="17">
        <v>15</v>
      </c>
      <c r="B21" s="17"/>
      <c r="C21" s="143">
        <v>8981</v>
      </c>
      <c r="D21" s="144">
        <v>45813</v>
      </c>
      <c r="E21" s="143" t="s">
        <v>790</v>
      </c>
      <c r="F21" s="145">
        <v>1475000</v>
      </c>
      <c r="G21" s="116"/>
      <c r="H21" s="17" t="s">
        <v>75</v>
      </c>
      <c r="I21" s="17"/>
      <c r="J21" s="117"/>
      <c r="K21" s="17"/>
    </row>
    <row r="22" spans="1:11" ht="121.8">
      <c r="A22" s="17">
        <v>16</v>
      </c>
      <c r="B22" s="17"/>
      <c r="C22" s="17">
        <v>9087</v>
      </c>
      <c r="D22" s="130">
        <v>45836</v>
      </c>
      <c r="E22" s="18" t="s">
        <v>802</v>
      </c>
      <c r="F22" s="24">
        <v>775000</v>
      </c>
      <c r="G22" s="116"/>
      <c r="H22" s="17" t="s">
        <v>75</v>
      </c>
      <c r="I22" s="17"/>
      <c r="J22" s="117"/>
      <c r="K22" s="17"/>
    </row>
    <row r="23" spans="1:11">
      <c r="A23" s="17">
        <v>17</v>
      </c>
      <c r="B23" s="17"/>
      <c r="C23" s="17">
        <v>9434</v>
      </c>
      <c r="D23" s="130">
        <v>45874</v>
      </c>
      <c r="E23" s="18" t="s">
        <v>997</v>
      </c>
      <c r="F23" s="132">
        <v>175000</v>
      </c>
      <c r="G23" s="25"/>
      <c r="H23" s="17" t="s">
        <v>75</v>
      </c>
      <c r="I23" s="17"/>
      <c r="J23" s="117"/>
      <c r="K23" s="17"/>
    </row>
    <row r="24" spans="1:11">
      <c r="A24" s="17">
        <v>18</v>
      </c>
      <c r="B24" s="17"/>
      <c r="C24" s="17">
        <v>101</v>
      </c>
      <c r="D24" s="130" t="s">
        <v>1062</v>
      </c>
      <c r="E24" s="18" t="s">
        <v>1078</v>
      </c>
      <c r="F24" s="132">
        <v>200000</v>
      </c>
      <c r="G24" s="25"/>
      <c r="H24" s="17" t="s">
        <v>75</v>
      </c>
      <c r="I24" s="17"/>
      <c r="J24" s="117"/>
      <c r="K24" s="17"/>
    </row>
    <row r="25" spans="1:11">
      <c r="A25" s="17">
        <v>19</v>
      </c>
      <c r="B25" s="17"/>
      <c r="C25" s="98">
        <v>303</v>
      </c>
      <c r="D25" s="135">
        <v>45977</v>
      </c>
      <c r="E25" s="99" t="s">
        <v>1107</v>
      </c>
      <c r="F25" s="100">
        <v>107000</v>
      </c>
      <c r="G25" s="101"/>
      <c r="H25" s="98" t="s">
        <v>75</v>
      </c>
      <c r="I25" s="17"/>
      <c r="J25" s="117"/>
      <c r="K25" s="17"/>
    </row>
    <row r="26" spans="1:11">
      <c r="A26" s="17">
        <v>20</v>
      </c>
      <c r="B26" s="17"/>
      <c r="C26" s="17">
        <v>1093</v>
      </c>
      <c r="D26" s="130">
        <v>46086</v>
      </c>
      <c r="E26" s="18" t="s">
        <v>1222</v>
      </c>
      <c r="F26" s="132">
        <v>30000</v>
      </c>
      <c r="G26" s="25"/>
      <c r="H26" s="17" t="s">
        <v>75</v>
      </c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08"/>
      <c r="B32" s="204" t="s">
        <v>98</v>
      </c>
      <c r="C32" s="204"/>
      <c r="D32" s="108"/>
      <c r="E32" s="118"/>
      <c r="F32" s="119">
        <f>SUM(F7:F31)</f>
        <v>12683500</v>
      </c>
      <c r="G32" s="120">
        <f>SUM(G7:G31)</f>
        <v>3200</v>
      </c>
      <c r="H32" s="108"/>
      <c r="I32" s="108"/>
      <c r="J32" s="121"/>
      <c r="K32" s="108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autoFilter ref="E1:E57" xr:uid="{00000000-0009-0000-0000-00004B000000}"/>
  <mergeCells count="3">
    <mergeCell ref="A1:K1"/>
    <mergeCell ref="B2:C2"/>
    <mergeCell ref="B32:C32"/>
  </mergeCells>
  <hyperlinks>
    <hyperlink ref="K2" location="الاليات!A1" display="الاليات " xr:uid="{00000000-0004-0000-4B00-000000000000}"/>
  </hyperlinks>
  <pageMargins left="0.7" right="0.7" top="0.75" bottom="0.75" header="0.3" footer="0.3"/>
  <pageSetup paperSize="9" scale="46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K118"/>
  <sheetViews>
    <sheetView rightToLeft="1" view="pageBreakPreview" zoomScale="140" zoomScaleNormal="100" zoomScaleSheetLayoutView="14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5.88671875" style="1" bestFit="1" customWidth="1"/>
    <col min="4" max="4" width="12.77734375" style="1" bestFit="1" customWidth="1"/>
    <col min="5" max="5" width="18.886718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10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72</v>
      </c>
      <c r="B2" s="202" t="s">
        <v>179</v>
      </c>
      <c r="C2" s="203"/>
      <c r="D2" s="138"/>
      <c r="E2" s="86" t="s">
        <v>8</v>
      </c>
      <c r="F2" s="87">
        <v>2008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920</v>
      </c>
      <c r="D3" s="35"/>
      <c r="E3" s="86" t="s">
        <v>68</v>
      </c>
      <c r="F3" s="140" t="s">
        <v>826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 t="s">
        <v>300</v>
      </c>
      <c r="D7" s="130">
        <v>45082</v>
      </c>
      <c r="E7" s="18" t="s">
        <v>135</v>
      </c>
      <c r="F7" s="132">
        <v>545000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 t="s">
        <v>376</v>
      </c>
      <c r="D8" s="17" t="s">
        <v>373</v>
      </c>
      <c r="E8" s="18" t="s">
        <v>135</v>
      </c>
      <c r="F8" s="132">
        <v>36000</v>
      </c>
      <c r="G8" s="25"/>
      <c r="H8" s="17"/>
      <c r="I8" s="17"/>
      <c r="J8" s="117"/>
      <c r="K8" s="17"/>
    </row>
    <row r="9" spans="1:11">
      <c r="A9" s="17">
        <v>3</v>
      </c>
      <c r="B9" s="17"/>
      <c r="C9" s="17" t="s">
        <v>388</v>
      </c>
      <c r="D9" s="130">
        <v>45242</v>
      </c>
      <c r="E9" s="18" t="s">
        <v>389</v>
      </c>
      <c r="F9" s="132">
        <v>220000</v>
      </c>
      <c r="G9" s="25"/>
      <c r="H9" s="17"/>
      <c r="I9" s="17"/>
      <c r="J9" s="117"/>
      <c r="K9" s="17"/>
    </row>
    <row r="10" spans="1:11">
      <c r="A10" s="17">
        <v>4</v>
      </c>
      <c r="B10" s="17"/>
      <c r="C10" s="17" t="s">
        <v>395</v>
      </c>
      <c r="D10" s="17" t="s">
        <v>396</v>
      </c>
      <c r="E10" s="18" t="s">
        <v>135</v>
      </c>
      <c r="F10" s="132">
        <v>260000</v>
      </c>
      <c r="G10" s="25"/>
      <c r="H10" s="17"/>
      <c r="I10" s="17"/>
      <c r="J10" s="117"/>
      <c r="K10" s="17"/>
    </row>
    <row r="11" spans="1:11">
      <c r="A11" s="17">
        <v>5</v>
      </c>
      <c r="B11" s="17"/>
      <c r="C11" s="17">
        <v>6145</v>
      </c>
      <c r="D11" s="17" t="s">
        <v>412</v>
      </c>
      <c r="E11" s="18" t="s">
        <v>324</v>
      </c>
      <c r="F11" s="132">
        <v>900000</v>
      </c>
      <c r="G11" s="25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>
        <v>6145</v>
      </c>
      <c r="D12" s="130" t="s">
        <v>412</v>
      </c>
      <c r="E12" s="18" t="s">
        <v>331</v>
      </c>
      <c r="F12" s="132">
        <v>1125000</v>
      </c>
      <c r="G12" s="25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 t="s">
        <v>414</v>
      </c>
      <c r="D13" s="130">
        <v>45293</v>
      </c>
      <c r="E13" s="18" t="s">
        <v>135</v>
      </c>
      <c r="F13" s="132">
        <v>70000</v>
      </c>
      <c r="G13" s="25"/>
      <c r="H13" s="17"/>
      <c r="I13" s="17"/>
      <c r="J13" s="117"/>
      <c r="K13" s="17"/>
    </row>
    <row r="14" spans="1:11">
      <c r="A14" s="17">
        <v>8</v>
      </c>
      <c r="B14" s="17"/>
      <c r="C14" s="17">
        <v>6263</v>
      </c>
      <c r="D14" s="130">
        <v>45325</v>
      </c>
      <c r="E14" s="18" t="s">
        <v>429</v>
      </c>
      <c r="F14" s="132">
        <v>650000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7">
        <v>9087</v>
      </c>
      <c r="D15" s="130">
        <v>45836</v>
      </c>
      <c r="E15" s="18" t="s">
        <v>618</v>
      </c>
      <c r="F15" s="132">
        <v>1160000</v>
      </c>
      <c r="G15" s="25"/>
      <c r="H15" s="17" t="s">
        <v>75</v>
      </c>
      <c r="I15" s="17"/>
      <c r="J15" s="117"/>
      <c r="K15" s="17"/>
    </row>
    <row r="16" spans="1:11">
      <c r="A16" s="17">
        <v>10</v>
      </c>
      <c r="B16" s="17"/>
      <c r="C16" s="98">
        <v>794</v>
      </c>
      <c r="D16" s="98" t="s">
        <v>1178</v>
      </c>
      <c r="E16" s="99" t="s">
        <v>1182</v>
      </c>
      <c r="F16" s="100">
        <v>80000</v>
      </c>
      <c r="G16" s="101"/>
      <c r="H16" s="98" t="s">
        <v>75</v>
      </c>
      <c r="I16" s="17"/>
      <c r="J16" s="117"/>
      <c r="K16" s="17"/>
    </row>
    <row r="17" spans="1:11" ht="52.2">
      <c r="A17" s="17">
        <v>11</v>
      </c>
      <c r="B17" s="17"/>
      <c r="C17" s="17">
        <v>1093</v>
      </c>
      <c r="D17" s="130">
        <v>46086</v>
      </c>
      <c r="E17" s="18" t="s">
        <v>1223</v>
      </c>
      <c r="F17" s="132">
        <v>230000</v>
      </c>
      <c r="G17" s="25"/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08"/>
      <c r="B28" s="204" t="s">
        <v>98</v>
      </c>
      <c r="C28" s="204"/>
      <c r="D28" s="108"/>
      <c r="E28" s="118"/>
      <c r="F28" s="119">
        <f>SUM(F7:F27)</f>
        <v>5276000</v>
      </c>
      <c r="G28" s="120">
        <f>SUM(G7:G27)</f>
        <v>0</v>
      </c>
      <c r="H28" s="108"/>
      <c r="I28" s="108"/>
      <c r="J28" s="121"/>
      <c r="K28" s="108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8:C28"/>
  </mergeCells>
  <hyperlinks>
    <hyperlink ref="K2" location="الاليات!A1" display="الاليات " xr:uid="{00000000-0004-0000-4C00-000000000000}"/>
  </hyperlinks>
  <pageMargins left="0.7" right="0.7" top="0.75" bottom="0.75" header="0.3" footer="0.3"/>
  <pageSetup paperSize="9" scale="83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K118"/>
  <sheetViews>
    <sheetView rightToLeft="1" view="pageBreakPreview" zoomScale="120" zoomScaleNormal="100" zoomScaleSheetLayoutView="12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4" width="12.77734375" style="1" bestFit="1" customWidth="1"/>
    <col min="5" max="5" width="30.33203125" style="73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73</v>
      </c>
      <c r="B2" s="202" t="s">
        <v>52</v>
      </c>
      <c r="C2" s="203"/>
      <c r="D2" s="138"/>
      <c r="E2" s="86" t="s">
        <v>8</v>
      </c>
      <c r="F2" s="87">
        <v>2006</v>
      </c>
      <c r="G2" s="35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921</v>
      </c>
      <c r="D3" s="35"/>
      <c r="E3" s="86" t="s">
        <v>68</v>
      </c>
      <c r="F3" s="140" t="s">
        <v>70</v>
      </c>
      <c r="G3" s="35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7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7"/>
      <c r="H5" s="17"/>
      <c r="I5" s="117"/>
      <c r="J5" s="17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4742</v>
      </c>
      <c r="D7" s="130">
        <v>45203</v>
      </c>
      <c r="E7" s="18" t="s">
        <v>135</v>
      </c>
      <c r="F7" s="132"/>
      <c r="G7" s="116">
        <v>123</v>
      </c>
      <c r="H7" s="17"/>
      <c r="I7" s="17"/>
      <c r="J7" s="117"/>
      <c r="K7" s="17"/>
    </row>
    <row r="8" spans="1:11">
      <c r="A8" s="17">
        <v>2</v>
      </c>
      <c r="B8" s="17"/>
      <c r="C8" s="17" t="s">
        <v>376</v>
      </c>
      <c r="D8" s="17" t="s">
        <v>373</v>
      </c>
      <c r="E8" s="18" t="s">
        <v>378</v>
      </c>
      <c r="F8" s="132">
        <v>135000</v>
      </c>
      <c r="G8" s="116"/>
      <c r="H8" s="17"/>
      <c r="I8" s="17"/>
      <c r="J8" s="117"/>
      <c r="K8" s="17"/>
    </row>
    <row r="9" spans="1:11" ht="30.6" customHeight="1">
      <c r="A9" s="17">
        <v>3</v>
      </c>
      <c r="B9" s="17"/>
      <c r="C9" s="17">
        <v>6049</v>
      </c>
      <c r="D9" s="17" t="s">
        <v>401</v>
      </c>
      <c r="E9" s="18" t="s">
        <v>442</v>
      </c>
      <c r="F9" s="132">
        <v>1160000</v>
      </c>
      <c r="G9" s="116"/>
      <c r="H9" s="17" t="s">
        <v>75</v>
      </c>
      <c r="I9" s="17"/>
      <c r="J9" s="117"/>
      <c r="K9" s="17"/>
    </row>
    <row r="10" spans="1:11" ht="25.95" customHeight="1">
      <c r="A10" s="17">
        <v>4</v>
      </c>
      <c r="B10" s="17"/>
      <c r="C10" s="17">
        <v>6145</v>
      </c>
      <c r="D10" s="130" t="s">
        <v>412</v>
      </c>
      <c r="E10" s="18" t="s">
        <v>491</v>
      </c>
      <c r="F10" s="132">
        <v>2355000</v>
      </c>
      <c r="G10" s="116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98">
        <v>8062</v>
      </c>
      <c r="D11" s="135">
        <v>45739</v>
      </c>
      <c r="E11" s="99" t="s">
        <v>283</v>
      </c>
      <c r="F11" s="100">
        <v>60000</v>
      </c>
      <c r="G11" s="101"/>
      <c r="H11" s="98" t="s">
        <v>75</v>
      </c>
      <c r="I11" s="17"/>
      <c r="J11" s="117"/>
      <c r="K11" s="17"/>
    </row>
    <row r="12" spans="1:11">
      <c r="A12" s="17">
        <v>6</v>
      </c>
      <c r="B12" s="17"/>
      <c r="C12" s="17">
        <v>8152</v>
      </c>
      <c r="D12" s="130">
        <v>45760</v>
      </c>
      <c r="E12" s="18" t="s">
        <v>384</v>
      </c>
      <c r="F12" s="132">
        <v>105000</v>
      </c>
      <c r="G12" s="25"/>
      <c r="H12" s="117" t="s">
        <v>75</v>
      </c>
      <c r="I12" s="17"/>
      <c r="J12" s="117"/>
      <c r="K12" s="17"/>
    </row>
    <row r="13" spans="1:11">
      <c r="A13" s="17">
        <v>7</v>
      </c>
      <c r="B13" s="17"/>
      <c r="C13" s="98">
        <v>9539</v>
      </c>
      <c r="D13" s="135">
        <v>45890</v>
      </c>
      <c r="E13" s="99" t="s">
        <v>1003</v>
      </c>
      <c r="F13" s="100">
        <v>300000</v>
      </c>
      <c r="G13" s="101"/>
      <c r="H13" s="102" t="s">
        <v>75</v>
      </c>
      <c r="I13" s="17"/>
      <c r="J13" s="117"/>
      <c r="K13" s="17"/>
    </row>
    <row r="14" spans="1:11" ht="16.5" customHeight="1">
      <c r="A14" s="17">
        <v>8</v>
      </c>
      <c r="B14" s="17"/>
      <c r="C14" s="17">
        <v>343</v>
      </c>
      <c r="D14" s="130">
        <v>45983</v>
      </c>
      <c r="E14" s="18" t="s">
        <v>1115</v>
      </c>
      <c r="F14" s="132">
        <v>407000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8">
        <v>960</v>
      </c>
      <c r="D15" s="133">
        <v>46358</v>
      </c>
      <c r="E15" s="18" t="s">
        <v>1202</v>
      </c>
      <c r="F15" s="134">
        <v>180000</v>
      </c>
      <c r="G15" s="25"/>
      <c r="H15" s="17" t="s">
        <v>75</v>
      </c>
      <c r="I15" s="17"/>
      <c r="J15" s="117"/>
      <c r="K15" s="17"/>
    </row>
    <row r="16" spans="1:11" ht="34.799999999999997">
      <c r="A16" s="17">
        <v>10</v>
      </c>
      <c r="B16" s="17"/>
      <c r="C16" s="17">
        <v>1281</v>
      </c>
      <c r="D16" s="17" t="s">
        <v>1256</v>
      </c>
      <c r="E16" s="18" t="s">
        <v>1265</v>
      </c>
      <c r="F16" s="132">
        <v>220000</v>
      </c>
      <c r="G16" s="116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98">
        <v>1394</v>
      </c>
      <c r="D17" s="135">
        <v>46300</v>
      </c>
      <c r="E17" s="99" t="s">
        <v>1278</v>
      </c>
      <c r="F17" s="100">
        <v>300000</v>
      </c>
      <c r="G17" s="127"/>
      <c r="H17" s="98" t="s">
        <v>75</v>
      </c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116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116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116"/>
      <c r="H37" s="17"/>
      <c r="I37" s="17"/>
      <c r="J37" s="117"/>
      <c r="K37" s="17"/>
    </row>
    <row r="38" spans="1:11">
      <c r="A38" s="108"/>
      <c r="B38" s="204" t="s">
        <v>98</v>
      </c>
      <c r="C38" s="204"/>
      <c r="D38" s="108"/>
      <c r="E38" s="118"/>
      <c r="F38" s="119">
        <f>SUM(F7:F37)</f>
        <v>5222000</v>
      </c>
      <c r="G38" s="120">
        <f>SUM(G7:G37)</f>
        <v>123</v>
      </c>
      <c r="H38" s="108"/>
      <c r="I38" s="108"/>
      <c r="J38" s="121"/>
      <c r="K38" s="108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8:C38"/>
  </mergeCells>
  <hyperlinks>
    <hyperlink ref="K2" location="الاليات!A1" display="الاليات " xr:uid="{00000000-0004-0000-4D00-000000000000}"/>
  </hyperlinks>
  <pageMargins left="0.7" right="0.7" top="0.75" bottom="0.75" header="0.3" footer="0.3"/>
  <pageSetup paperSize="9" scale="65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K118"/>
  <sheetViews>
    <sheetView rightToLeft="1" view="pageBreakPreview" zoomScale="150" zoomScaleNormal="100" zoomScaleSheetLayoutView="150" workbookViewId="0">
      <selection activeCell="B8" sqref="B8"/>
    </sheetView>
  </sheetViews>
  <sheetFormatPr defaultColWidth="9.109375" defaultRowHeight="17.399999999999999"/>
  <cols>
    <col min="1" max="1" width="3.5546875" style="1" bestFit="1" customWidth="1"/>
    <col min="2" max="2" width="12.6640625" style="1" bestFit="1" customWidth="1"/>
    <col min="3" max="4" width="13" style="1" bestFit="1" customWidth="1"/>
    <col min="5" max="5" width="26.77734375" style="73" bestFit="1" customWidth="1"/>
    <col min="6" max="6" width="15.5546875" style="172" bestFit="1" customWidth="1"/>
    <col min="7" max="7" width="6.109375" style="173" bestFit="1" customWidth="1"/>
    <col min="8" max="8" width="13.44140625" style="1" bestFit="1" customWidth="1"/>
    <col min="9" max="9" width="9.554687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74</v>
      </c>
      <c r="B2" s="211" t="s">
        <v>53</v>
      </c>
      <c r="C2" s="211"/>
      <c r="D2" s="89"/>
      <c r="E2" s="86" t="s">
        <v>8</v>
      </c>
      <c r="F2" s="87">
        <v>2006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922</v>
      </c>
      <c r="D3" s="89"/>
      <c r="E3" s="86" t="s">
        <v>68</v>
      </c>
      <c r="F3" s="140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7" t="s">
        <v>9</v>
      </c>
      <c r="B6" s="97" t="s">
        <v>853</v>
      </c>
      <c r="C6" s="97" t="s">
        <v>93</v>
      </c>
      <c r="D6" s="97" t="s">
        <v>2</v>
      </c>
      <c r="E6" s="97" t="s">
        <v>1</v>
      </c>
      <c r="F6" s="161" t="s">
        <v>5</v>
      </c>
      <c r="G6" s="162" t="s">
        <v>4</v>
      </c>
      <c r="H6" s="97" t="s">
        <v>0</v>
      </c>
      <c r="I6" s="97" t="s">
        <v>101</v>
      </c>
      <c r="J6" s="97" t="s">
        <v>970</v>
      </c>
      <c r="K6" s="97"/>
    </row>
    <row r="7" spans="1:11">
      <c r="A7" s="98">
        <v>1</v>
      </c>
      <c r="B7" s="99"/>
      <c r="C7" s="98" t="s">
        <v>261</v>
      </c>
      <c r="D7" s="135" t="s">
        <v>256</v>
      </c>
      <c r="E7" s="99" t="s">
        <v>258</v>
      </c>
      <c r="F7" s="137">
        <v>3020000</v>
      </c>
      <c r="G7" s="101"/>
      <c r="H7" s="98"/>
      <c r="I7" s="98"/>
      <c r="J7" s="102"/>
      <c r="K7" s="17"/>
    </row>
    <row r="8" spans="1:11">
      <c r="A8" s="98">
        <v>2</v>
      </c>
      <c r="B8" s="99"/>
      <c r="C8" s="98" t="s">
        <v>261</v>
      </c>
      <c r="D8" s="135" t="s">
        <v>256</v>
      </c>
      <c r="E8" s="99" t="s">
        <v>268</v>
      </c>
      <c r="F8" s="137">
        <v>196000</v>
      </c>
      <c r="G8" s="101"/>
      <c r="H8" s="98"/>
      <c r="I8" s="98"/>
      <c r="J8" s="102"/>
      <c r="K8" s="17"/>
    </row>
    <row r="9" spans="1:11">
      <c r="A9" s="98">
        <v>3</v>
      </c>
      <c r="B9" s="99"/>
      <c r="C9" s="98">
        <v>4880</v>
      </c>
      <c r="D9" s="135">
        <v>45082</v>
      </c>
      <c r="E9" s="99" t="s">
        <v>259</v>
      </c>
      <c r="F9" s="100">
        <v>1900000</v>
      </c>
      <c r="G9" s="101"/>
      <c r="H9" s="102" t="s">
        <v>75</v>
      </c>
      <c r="I9" s="98"/>
      <c r="J9" s="102"/>
      <c r="K9" s="17"/>
    </row>
    <row r="10" spans="1:11">
      <c r="A10" s="98">
        <v>4</v>
      </c>
      <c r="B10" s="99"/>
      <c r="C10" s="98" t="s">
        <v>364</v>
      </c>
      <c r="D10" s="135">
        <v>45149</v>
      </c>
      <c r="E10" s="99" t="s">
        <v>365</v>
      </c>
      <c r="F10" s="100">
        <v>430000</v>
      </c>
      <c r="G10" s="101"/>
      <c r="H10" s="102"/>
      <c r="I10" s="98"/>
      <c r="J10" s="102"/>
      <c r="K10" s="17"/>
    </row>
    <row r="11" spans="1:11">
      <c r="A11" s="98">
        <v>5</v>
      </c>
      <c r="B11" s="99"/>
      <c r="C11" s="98" t="s">
        <v>388</v>
      </c>
      <c r="D11" s="135">
        <v>45242</v>
      </c>
      <c r="E11" s="99" t="s">
        <v>135</v>
      </c>
      <c r="F11" s="100">
        <v>235000</v>
      </c>
      <c r="G11" s="101"/>
      <c r="H11" s="102"/>
      <c r="I11" s="98"/>
      <c r="J11" s="102"/>
      <c r="K11" s="17"/>
    </row>
    <row r="12" spans="1:11">
      <c r="A12" s="98">
        <v>6</v>
      </c>
      <c r="B12" s="99"/>
      <c r="C12" s="98" t="s">
        <v>415</v>
      </c>
      <c r="D12" s="135">
        <v>45414</v>
      </c>
      <c r="E12" s="99" t="s">
        <v>144</v>
      </c>
      <c r="F12" s="100">
        <v>280000</v>
      </c>
      <c r="G12" s="101"/>
      <c r="H12" s="102"/>
      <c r="I12" s="98"/>
      <c r="J12" s="102"/>
      <c r="K12" s="17"/>
    </row>
    <row r="13" spans="1:11">
      <c r="A13" s="98">
        <v>7</v>
      </c>
      <c r="B13" s="99"/>
      <c r="C13" s="17">
        <v>6794</v>
      </c>
      <c r="D13" s="17" t="s">
        <v>543</v>
      </c>
      <c r="E13" s="18" t="s">
        <v>566</v>
      </c>
      <c r="F13" s="132">
        <v>31000</v>
      </c>
      <c r="G13" s="25"/>
      <c r="H13" s="17" t="s">
        <v>278</v>
      </c>
      <c r="I13" s="98"/>
      <c r="J13" s="102"/>
      <c r="K13" s="17"/>
    </row>
    <row r="14" spans="1:11">
      <c r="A14" s="98">
        <v>8</v>
      </c>
      <c r="B14" s="99"/>
      <c r="C14" s="98">
        <v>9539</v>
      </c>
      <c r="D14" s="135">
        <v>45890</v>
      </c>
      <c r="E14" s="99" t="s">
        <v>1003</v>
      </c>
      <c r="F14" s="100">
        <v>300000</v>
      </c>
      <c r="G14" s="101"/>
      <c r="H14" s="102" t="s">
        <v>75</v>
      </c>
      <c r="I14" s="98"/>
      <c r="J14" s="102"/>
      <c r="K14" s="17"/>
    </row>
    <row r="15" spans="1:11">
      <c r="A15" s="98">
        <v>9</v>
      </c>
      <c r="B15" s="99"/>
      <c r="C15" s="17">
        <v>101</v>
      </c>
      <c r="D15" s="130" t="s">
        <v>1062</v>
      </c>
      <c r="E15" s="18" t="s">
        <v>1076</v>
      </c>
      <c r="F15" s="132">
        <v>15000</v>
      </c>
      <c r="G15" s="25"/>
      <c r="H15" s="17" t="s">
        <v>75</v>
      </c>
      <c r="I15" s="98"/>
      <c r="J15" s="102"/>
      <c r="K15" s="17"/>
    </row>
    <row r="16" spans="1:11" ht="34.799999999999997">
      <c r="A16" s="98">
        <v>10</v>
      </c>
      <c r="B16" s="99"/>
      <c r="C16" s="98">
        <v>668</v>
      </c>
      <c r="D16" s="135">
        <v>46082</v>
      </c>
      <c r="E16" s="99" t="s">
        <v>1157</v>
      </c>
      <c r="F16" s="100">
        <v>312000</v>
      </c>
      <c r="G16" s="101"/>
      <c r="H16" s="98" t="s">
        <v>75</v>
      </c>
      <c r="I16" s="98"/>
      <c r="J16" s="102"/>
      <c r="K16" s="17"/>
    </row>
    <row r="17" spans="1:11">
      <c r="A17" s="98">
        <v>11</v>
      </c>
      <c r="B17" s="99"/>
      <c r="C17" s="98">
        <v>960</v>
      </c>
      <c r="D17" s="135">
        <v>46358</v>
      </c>
      <c r="E17" s="99" t="s">
        <v>1198</v>
      </c>
      <c r="F17" s="100">
        <v>104000</v>
      </c>
      <c r="G17" s="101"/>
      <c r="H17" s="102" t="s">
        <v>75</v>
      </c>
      <c r="I17" s="98"/>
      <c r="J17" s="102"/>
      <c r="K17" s="17"/>
    </row>
    <row r="18" spans="1:11" ht="69.599999999999994">
      <c r="A18" s="98">
        <v>12</v>
      </c>
      <c r="B18" s="99"/>
      <c r="C18" s="17">
        <v>1158</v>
      </c>
      <c r="D18" s="17" t="s">
        <v>1241</v>
      </c>
      <c r="E18" s="18" t="s">
        <v>1243</v>
      </c>
      <c r="F18" s="132">
        <v>275000</v>
      </c>
      <c r="G18" s="116"/>
      <c r="H18" s="17" t="s">
        <v>75</v>
      </c>
      <c r="I18" s="98"/>
      <c r="J18" s="102"/>
      <c r="K18" s="17"/>
    </row>
    <row r="19" spans="1:11">
      <c r="A19" s="98">
        <v>13</v>
      </c>
      <c r="B19" s="99"/>
      <c r="C19" s="98"/>
      <c r="D19" s="135"/>
      <c r="E19" s="99"/>
      <c r="F19" s="100"/>
      <c r="G19" s="101"/>
      <c r="H19" s="102"/>
      <c r="I19" s="98"/>
      <c r="J19" s="102"/>
      <c r="K19" s="17"/>
    </row>
    <row r="20" spans="1:11">
      <c r="A20" s="98">
        <v>14</v>
      </c>
      <c r="B20" s="99"/>
      <c r="C20" s="98"/>
      <c r="D20" s="135"/>
      <c r="E20" s="99"/>
      <c r="F20" s="100"/>
      <c r="G20" s="101"/>
      <c r="H20" s="102"/>
      <c r="I20" s="98"/>
      <c r="J20" s="102"/>
      <c r="K20" s="17"/>
    </row>
    <row r="21" spans="1:11">
      <c r="A21" s="98">
        <v>15</v>
      </c>
      <c r="B21" s="99"/>
      <c r="C21" s="98"/>
      <c r="D21" s="135"/>
      <c r="E21" s="99"/>
      <c r="F21" s="100"/>
      <c r="G21" s="101"/>
      <c r="H21" s="102"/>
      <c r="I21" s="98"/>
      <c r="J21" s="102"/>
      <c r="K21" s="17"/>
    </row>
    <row r="22" spans="1:11">
      <c r="A22" s="98">
        <v>16</v>
      </c>
      <c r="B22" s="99"/>
      <c r="C22" s="98"/>
      <c r="D22" s="135"/>
      <c r="E22" s="99"/>
      <c r="F22" s="100"/>
      <c r="G22" s="101"/>
      <c r="H22" s="102"/>
      <c r="I22" s="98"/>
      <c r="J22" s="102"/>
      <c r="K22" s="17"/>
    </row>
    <row r="23" spans="1:11">
      <c r="A23" s="98">
        <v>17</v>
      </c>
      <c r="B23" s="99"/>
      <c r="C23" s="98"/>
      <c r="D23" s="135"/>
      <c r="E23" s="99"/>
      <c r="F23" s="100"/>
      <c r="G23" s="101"/>
      <c r="H23" s="102"/>
      <c r="I23" s="98"/>
      <c r="J23" s="102"/>
      <c r="K23" s="17"/>
    </row>
    <row r="24" spans="1:11">
      <c r="A24" s="98">
        <v>18</v>
      </c>
      <c r="B24" s="99"/>
      <c r="C24" s="98"/>
      <c r="D24" s="135"/>
      <c r="E24" s="99"/>
      <c r="F24" s="100"/>
      <c r="G24" s="101"/>
      <c r="H24" s="102"/>
      <c r="I24" s="98"/>
      <c r="J24" s="102"/>
      <c r="K24" s="17"/>
    </row>
    <row r="25" spans="1:11">
      <c r="A25" s="98">
        <v>19</v>
      </c>
      <c r="B25" s="99"/>
      <c r="C25" s="98"/>
      <c r="D25" s="135"/>
      <c r="E25" s="99"/>
      <c r="F25" s="100"/>
      <c r="G25" s="101"/>
      <c r="H25" s="102"/>
      <c r="I25" s="98"/>
      <c r="J25" s="102"/>
      <c r="K25" s="17"/>
    </row>
    <row r="26" spans="1:11">
      <c r="A26" s="98">
        <v>20</v>
      </c>
      <c r="B26" s="99"/>
      <c r="C26" s="98"/>
      <c r="D26" s="135"/>
      <c r="E26" s="99"/>
      <c r="F26" s="100"/>
      <c r="G26" s="101"/>
      <c r="H26" s="102"/>
      <c r="I26" s="98"/>
      <c r="J26" s="102"/>
      <c r="K26" s="17"/>
    </row>
    <row r="27" spans="1:11">
      <c r="A27" s="98">
        <v>21</v>
      </c>
      <c r="B27" s="99"/>
      <c r="C27" s="98"/>
      <c r="D27" s="135"/>
      <c r="E27" s="99"/>
      <c r="F27" s="100"/>
      <c r="G27" s="101"/>
      <c r="H27" s="102"/>
      <c r="I27" s="98"/>
      <c r="J27" s="102"/>
      <c r="K27" s="17"/>
    </row>
    <row r="28" spans="1:11">
      <c r="A28" s="98">
        <v>22</v>
      </c>
      <c r="B28" s="99"/>
      <c r="C28" s="98"/>
      <c r="D28" s="135"/>
      <c r="E28" s="99"/>
      <c r="F28" s="100"/>
      <c r="G28" s="101"/>
      <c r="H28" s="102"/>
      <c r="I28" s="98"/>
      <c r="J28" s="102"/>
      <c r="K28" s="17"/>
    </row>
    <row r="29" spans="1:11">
      <c r="A29" s="98">
        <v>23</v>
      </c>
      <c r="B29" s="99"/>
      <c r="C29" s="98"/>
      <c r="D29" s="135"/>
      <c r="E29" s="99"/>
      <c r="F29" s="100"/>
      <c r="G29" s="101"/>
      <c r="H29" s="102"/>
      <c r="I29" s="98"/>
      <c r="J29" s="102"/>
      <c r="K29" s="17"/>
    </row>
    <row r="30" spans="1:11">
      <c r="A30" s="98">
        <v>24</v>
      </c>
      <c r="B30" s="99"/>
      <c r="C30" s="98"/>
      <c r="D30" s="135"/>
      <c r="E30" s="99"/>
      <c r="F30" s="100"/>
      <c r="G30" s="101"/>
      <c r="H30" s="102"/>
      <c r="I30" s="98"/>
      <c r="J30" s="102"/>
      <c r="K30" s="17"/>
    </row>
    <row r="31" spans="1:11">
      <c r="A31" s="98">
        <v>25</v>
      </c>
      <c r="B31" s="99"/>
      <c r="C31" s="98"/>
      <c r="D31" s="135"/>
      <c r="E31" s="99"/>
      <c r="F31" s="100"/>
      <c r="G31" s="101"/>
      <c r="H31" s="102"/>
      <c r="I31" s="98"/>
      <c r="J31" s="102"/>
      <c r="K31" s="17"/>
    </row>
    <row r="32" spans="1:11">
      <c r="A32" s="98">
        <v>26</v>
      </c>
      <c r="B32" s="99"/>
      <c r="C32" s="99"/>
      <c r="D32" s="136"/>
      <c r="E32" s="99"/>
      <c r="F32" s="137"/>
      <c r="G32" s="101"/>
      <c r="H32" s="98"/>
      <c r="I32" s="98"/>
      <c r="J32" s="102"/>
      <c r="K32" s="17"/>
    </row>
    <row r="33" spans="1:11">
      <c r="A33" s="98">
        <v>27</v>
      </c>
      <c r="B33" s="99"/>
      <c r="C33" s="99"/>
      <c r="D33" s="136"/>
      <c r="E33" s="99"/>
      <c r="F33" s="137"/>
      <c r="G33" s="101"/>
      <c r="H33" s="98"/>
      <c r="I33" s="98"/>
      <c r="J33" s="102"/>
      <c r="K33" s="17"/>
    </row>
    <row r="34" spans="1:11">
      <c r="A34" s="98">
        <v>28</v>
      </c>
      <c r="B34" s="99"/>
      <c r="C34" s="99"/>
      <c r="D34" s="136"/>
      <c r="E34" s="99"/>
      <c r="F34" s="137"/>
      <c r="G34" s="101"/>
      <c r="H34" s="98"/>
      <c r="I34" s="98"/>
      <c r="J34" s="102"/>
      <c r="K34" s="17"/>
    </row>
    <row r="35" spans="1:11">
      <c r="A35" s="98">
        <v>29</v>
      </c>
      <c r="B35" s="99"/>
      <c r="C35" s="99"/>
      <c r="D35" s="136"/>
      <c r="E35" s="99"/>
      <c r="F35" s="137"/>
      <c r="G35" s="101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31</v>
      </c>
      <c r="B37" s="98"/>
      <c r="C37" s="98"/>
      <c r="D37" s="98"/>
      <c r="E37" s="99"/>
      <c r="F37" s="100"/>
      <c r="G37" s="101"/>
      <c r="H37" s="163"/>
      <c r="I37" s="163"/>
      <c r="J37" s="164"/>
      <c r="K37" s="35"/>
    </row>
    <row r="38" spans="1:11">
      <c r="A38" s="98">
        <v>32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98">
        <v>33</v>
      </c>
      <c r="B39" s="98"/>
      <c r="C39" s="98"/>
      <c r="D39" s="98"/>
      <c r="E39" s="99"/>
      <c r="F39" s="100"/>
      <c r="G39" s="101"/>
      <c r="H39" s="98"/>
      <c r="I39" s="98"/>
      <c r="J39" s="102"/>
      <c r="K39" s="17"/>
    </row>
    <row r="40" spans="1:11">
      <c r="A40" s="98">
        <v>34</v>
      </c>
      <c r="B40" s="98"/>
      <c r="C40" s="98"/>
      <c r="D40" s="98"/>
      <c r="E40" s="99"/>
      <c r="F40" s="100"/>
      <c r="G40" s="101"/>
      <c r="H40" s="98"/>
      <c r="I40" s="98"/>
      <c r="J40" s="102"/>
      <c r="K40" s="17"/>
    </row>
    <row r="41" spans="1:11">
      <c r="A41" s="98">
        <v>35</v>
      </c>
      <c r="B41" s="98"/>
      <c r="C41" s="98"/>
      <c r="D41" s="98"/>
      <c r="E41" s="99"/>
      <c r="F41" s="100"/>
      <c r="G41" s="101"/>
      <c r="H41" s="98"/>
      <c r="I41" s="98"/>
      <c r="J41" s="102"/>
      <c r="K41" s="17"/>
    </row>
    <row r="42" spans="1:11">
      <c r="A42" s="98">
        <v>36</v>
      </c>
      <c r="B42" s="98"/>
      <c r="C42" s="98"/>
      <c r="D42" s="98"/>
      <c r="E42" s="99"/>
      <c r="F42" s="100"/>
      <c r="G42" s="101"/>
      <c r="H42" s="98"/>
      <c r="I42" s="98"/>
      <c r="J42" s="102"/>
      <c r="K42" s="17"/>
    </row>
    <row r="43" spans="1:11">
      <c r="A43" s="98">
        <v>37</v>
      </c>
      <c r="B43" s="18"/>
      <c r="C43" s="18"/>
      <c r="D43" s="133"/>
      <c r="E43" s="18"/>
      <c r="F43" s="134"/>
      <c r="G43" s="25"/>
      <c r="H43" s="17"/>
      <c r="I43" s="17"/>
      <c r="J43" s="117"/>
      <c r="K43" s="17"/>
    </row>
    <row r="44" spans="1:11">
      <c r="A44" s="98">
        <v>38</v>
      </c>
      <c r="B44" s="18"/>
      <c r="C44" s="18"/>
      <c r="D44" s="133"/>
      <c r="E44" s="18"/>
      <c r="F44" s="134"/>
      <c r="G44" s="25"/>
      <c r="H44" s="17"/>
      <c r="I44" s="17"/>
      <c r="J44" s="117"/>
      <c r="K44" s="17"/>
    </row>
    <row r="45" spans="1:11">
      <c r="A45" s="98">
        <v>39</v>
      </c>
      <c r="B45" s="18"/>
      <c r="C45" s="18"/>
      <c r="D45" s="133"/>
      <c r="E45" s="18"/>
      <c r="F45" s="134"/>
      <c r="G45" s="25"/>
      <c r="H45" s="17"/>
      <c r="I45" s="17"/>
      <c r="J45" s="117"/>
      <c r="K45" s="17"/>
    </row>
    <row r="46" spans="1:11">
      <c r="A46" s="98">
        <v>40</v>
      </c>
      <c r="B46" s="18"/>
      <c r="C46" s="18"/>
      <c r="D46" s="133"/>
      <c r="E46" s="18"/>
      <c r="F46" s="134"/>
      <c r="G46" s="25"/>
      <c r="H46" s="17"/>
      <c r="I46" s="17"/>
      <c r="J46" s="117"/>
      <c r="K46" s="17"/>
    </row>
    <row r="47" spans="1:11">
      <c r="A47" s="98">
        <v>41</v>
      </c>
      <c r="B47" s="17"/>
      <c r="C47" s="17"/>
      <c r="D47" s="17"/>
      <c r="E47" s="18"/>
      <c r="F47" s="165"/>
      <c r="G47" s="25"/>
      <c r="H47" s="17"/>
      <c r="I47" s="17"/>
      <c r="J47" s="117"/>
      <c r="K47" s="17"/>
    </row>
    <row r="48" spans="1:11">
      <c r="A48" s="98">
        <v>42</v>
      </c>
      <c r="B48" s="17"/>
      <c r="C48" s="17"/>
      <c r="D48" s="17"/>
      <c r="E48" s="18"/>
      <c r="F48" s="165"/>
      <c r="G48" s="25"/>
      <c r="H48" s="35"/>
      <c r="I48" s="35"/>
      <c r="J48" s="166"/>
      <c r="K48" s="35"/>
    </row>
    <row r="49" spans="1:11">
      <c r="A49" s="98">
        <v>43</v>
      </c>
      <c r="B49" s="17"/>
      <c r="C49" s="17"/>
      <c r="D49" s="17"/>
      <c r="E49" s="18"/>
      <c r="F49" s="165"/>
      <c r="G49" s="25"/>
      <c r="H49" s="17"/>
      <c r="I49" s="17"/>
      <c r="J49" s="117"/>
      <c r="K49" s="17"/>
    </row>
    <row r="50" spans="1:11">
      <c r="A50" s="98">
        <v>44</v>
      </c>
      <c r="B50" s="17"/>
      <c r="C50" s="17"/>
      <c r="D50" s="17"/>
      <c r="E50" s="18"/>
      <c r="F50" s="165"/>
      <c r="G50" s="25"/>
      <c r="H50" s="17"/>
      <c r="I50" s="17"/>
      <c r="J50" s="117"/>
      <c r="K50" s="17"/>
    </row>
    <row r="51" spans="1:11">
      <c r="A51" s="98">
        <v>45</v>
      </c>
      <c r="B51" s="17"/>
      <c r="C51" s="17"/>
      <c r="D51" s="17"/>
      <c r="E51" s="18"/>
      <c r="F51" s="165"/>
      <c r="G51" s="25"/>
      <c r="H51" s="17"/>
      <c r="I51" s="17"/>
      <c r="J51" s="117"/>
      <c r="K51" s="17"/>
    </row>
    <row r="52" spans="1:11">
      <c r="A52" s="98">
        <v>46</v>
      </c>
      <c r="B52" s="17"/>
      <c r="C52" s="17"/>
      <c r="D52" s="17"/>
      <c r="E52" s="18"/>
      <c r="F52" s="165"/>
      <c r="G52" s="25"/>
      <c r="H52" s="17"/>
      <c r="I52" s="17"/>
      <c r="J52" s="117"/>
      <c r="K52" s="17"/>
    </row>
    <row r="53" spans="1:11">
      <c r="A53" s="98">
        <v>47</v>
      </c>
      <c r="B53" s="17"/>
      <c r="C53" s="17"/>
      <c r="D53" s="17"/>
      <c r="E53" s="18"/>
      <c r="F53" s="165"/>
      <c r="G53" s="25"/>
      <c r="H53" s="17"/>
      <c r="I53" s="17"/>
      <c r="J53" s="117"/>
      <c r="K53" s="17"/>
    </row>
    <row r="54" spans="1:11">
      <c r="A54" s="167"/>
      <c r="B54" s="167"/>
      <c r="C54" s="167"/>
      <c r="D54" s="167"/>
      <c r="E54" s="168"/>
      <c r="F54" s="169">
        <f>SUM(F7:F53)</f>
        <v>7098000</v>
      </c>
      <c r="G54" s="170">
        <f>SUM(G7:G53)</f>
        <v>0</v>
      </c>
      <c r="H54" s="167"/>
      <c r="I54" s="167"/>
      <c r="J54" s="171"/>
      <c r="K54" s="167"/>
    </row>
    <row r="55" spans="1:11">
      <c r="J55" s="115"/>
    </row>
    <row r="56" spans="1:11">
      <c r="J56" s="115"/>
    </row>
    <row r="57" spans="1:11">
      <c r="J57" s="115"/>
    </row>
    <row r="58" spans="1:11">
      <c r="J58" s="115"/>
    </row>
    <row r="59" spans="1:11">
      <c r="J59" s="115"/>
    </row>
    <row r="60" spans="1:11">
      <c r="J60" s="115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2">
    <mergeCell ref="A1:K1"/>
    <mergeCell ref="B2:C2"/>
  </mergeCells>
  <hyperlinks>
    <hyperlink ref="K2" location="الاليات!A1" display="الاليات " xr:uid="{00000000-0004-0000-4E00-000000000000}"/>
  </hyperlinks>
  <pageMargins left="0.7" right="0.7" top="0.75" bottom="0.75" header="0.3" footer="0.3"/>
  <pageSetup paperSize="9" scale="46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4.109375" style="1" bestFit="1" customWidth="1"/>
    <col min="4" max="4" width="12.77734375" style="1" bestFit="1" customWidth="1"/>
    <col min="5" max="5" width="106" style="73" bestFit="1" customWidth="1"/>
    <col min="6" max="6" width="16.33203125" style="114" bestFit="1" customWidth="1"/>
    <col min="7" max="7" width="7.6640625" style="79" bestFit="1" customWidth="1"/>
    <col min="8" max="8" width="13.44140625" style="1" bestFit="1" customWidth="1"/>
    <col min="9" max="9" width="7.554687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75</v>
      </c>
      <c r="B2" s="202" t="s">
        <v>53</v>
      </c>
      <c r="C2" s="203"/>
      <c r="D2" s="138"/>
      <c r="E2" s="86" t="s">
        <v>8</v>
      </c>
      <c r="F2" s="87">
        <v>2006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923</v>
      </c>
      <c r="D3" s="35"/>
      <c r="E3" s="86" t="s">
        <v>68</v>
      </c>
      <c r="F3" s="140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9"/>
      <c r="C7" s="99" t="s">
        <v>261</v>
      </c>
      <c r="D7" s="136" t="s">
        <v>266</v>
      </c>
      <c r="E7" s="99" t="s">
        <v>324</v>
      </c>
      <c r="F7" s="137">
        <v>500000</v>
      </c>
      <c r="G7" s="101"/>
      <c r="H7" s="98"/>
      <c r="I7" s="98"/>
      <c r="J7" s="102"/>
      <c r="K7" s="17"/>
    </row>
    <row r="8" spans="1:11">
      <c r="A8" s="98">
        <v>2</v>
      </c>
      <c r="B8" s="99"/>
      <c r="C8" s="99" t="s">
        <v>261</v>
      </c>
      <c r="D8" s="136" t="s">
        <v>269</v>
      </c>
      <c r="E8" s="99" t="s">
        <v>171</v>
      </c>
      <c r="F8" s="137">
        <v>10000</v>
      </c>
      <c r="G8" s="101"/>
      <c r="H8" s="98"/>
      <c r="I8" s="98"/>
      <c r="J8" s="102"/>
      <c r="K8" s="17"/>
    </row>
    <row r="9" spans="1:11">
      <c r="A9" s="98">
        <v>3</v>
      </c>
      <c r="B9" s="99"/>
      <c r="C9" s="99" t="s">
        <v>265</v>
      </c>
      <c r="D9" s="136">
        <v>44929</v>
      </c>
      <c r="E9" s="99" t="s">
        <v>324</v>
      </c>
      <c r="F9" s="137">
        <v>4206000</v>
      </c>
      <c r="G9" s="101"/>
      <c r="H9" s="98"/>
      <c r="I9" s="98"/>
      <c r="J9" s="102"/>
      <c r="K9" s="17"/>
    </row>
    <row r="10" spans="1:11">
      <c r="A10" s="98">
        <v>4</v>
      </c>
      <c r="B10" s="99"/>
      <c r="C10" s="99">
        <v>4765</v>
      </c>
      <c r="D10" s="136">
        <v>45050</v>
      </c>
      <c r="E10" s="99" t="s">
        <v>287</v>
      </c>
      <c r="F10" s="137">
        <v>530000</v>
      </c>
      <c r="G10" s="101"/>
      <c r="H10" s="98"/>
      <c r="I10" s="98"/>
      <c r="J10" s="102"/>
      <c r="K10" s="17"/>
    </row>
    <row r="11" spans="1:11">
      <c r="A11" s="98">
        <v>5</v>
      </c>
      <c r="B11" s="99"/>
      <c r="C11" s="99">
        <v>4984</v>
      </c>
      <c r="D11" s="136" t="s">
        <v>302</v>
      </c>
      <c r="E11" s="99" t="s">
        <v>303</v>
      </c>
      <c r="F11" s="137">
        <v>700000</v>
      </c>
      <c r="G11" s="101"/>
      <c r="H11" s="98" t="s">
        <v>75</v>
      </c>
      <c r="I11" s="98"/>
      <c r="J11" s="102"/>
      <c r="K11" s="17"/>
    </row>
    <row r="12" spans="1:11">
      <c r="A12" s="98">
        <v>6</v>
      </c>
      <c r="B12" s="99"/>
      <c r="C12" s="98">
        <v>4984</v>
      </c>
      <c r="D12" s="98" t="s">
        <v>302</v>
      </c>
      <c r="E12" s="99" t="s">
        <v>324</v>
      </c>
      <c r="F12" s="100">
        <v>950000</v>
      </c>
      <c r="G12" s="101">
        <v>800</v>
      </c>
      <c r="H12" s="98" t="s">
        <v>75</v>
      </c>
      <c r="I12" s="98"/>
      <c r="J12" s="102"/>
      <c r="K12" s="17"/>
    </row>
    <row r="13" spans="1:11">
      <c r="A13" s="98">
        <v>7</v>
      </c>
      <c r="B13" s="99"/>
      <c r="C13" s="99" t="s">
        <v>369</v>
      </c>
      <c r="D13" s="136">
        <v>45271</v>
      </c>
      <c r="E13" s="99" t="s">
        <v>259</v>
      </c>
      <c r="F13" s="137">
        <v>609000</v>
      </c>
      <c r="G13" s="101"/>
      <c r="H13" s="98"/>
      <c r="I13" s="98"/>
      <c r="J13" s="102"/>
      <c r="K13" s="17"/>
    </row>
    <row r="14" spans="1:11">
      <c r="A14" s="98">
        <v>8</v>
      </c>
      <c r="B14" s="99"/>
      <c r="C14" s="98">
        <v>5792</v>
      </c>
      <c r="D14" s="98" t="s">
        <v>373</v>
      </c>
      <c r="E14" s="99" t="s">
        <v>324</v>
      </c>
      <c r="F14" s="100">
        <v>1070000</v>
      </c>
      <c r="G14" s="101">
        <v>400</v>
      </c>
      <c r="H14" s="98" t="s">
        <v>75</v>
      </c>
      <c r="I14" s="98"/>
      <c r="J14" s="102"/>
      <c r="K14" s="17"/>
    </row>
    <row r="15" spans="1:11" ht="18.75" customHeight="1">
      <c r="A15" s="98">
        <v>9</v>
      </c>
      <c r="B15" s="99"/>
      <c r="C15" s="99">
        <v>6049</v>
      </c>
      <c r="D15" s="136" t="s">
        <v>401</v>
      </c>
      <c r="E15" s="99" t="s">
        <v>443</v>
      </c>
      <c r="F15" s="137">
        <v>1005000</v>
      </c>
      <c r="G15" s="101"/>
      <c r="H15" s="98" t="s">
        <v>75</v>
      </c>
      <c r="I15" s="98"/>
      <c r="J15" s="102"/>
      <c r="K15" s="17"/>
    </row>
    <row r="16" spans="1:11">
      <c r="A16" s="98">
        <v>10</v>
      </c>
      <c r="B16" s="99"/>
      <c r="C16" s="17">
        <v>6633</v>
      </c>
      <c r="D16" s="17" t="s">
        <v>533</v>
      </c>
      <c r="E16" s="18" t="s">
        <v>259</v>
      </c>
      <c r="F16" s="132">
        <v>515000</v>
      </c>
      <c r="G16" s="25"/>
      <c r="H16" s="98" t="s">
        <v>75</v>
      </c>
      <c r="I16" s="98"/>
      <c r="J16" s="102"/>
      <c r="K16" s="17"/>
    </row>
    <row r="17" spans="1:11">
      <c r="A17" s="98">
        <v>11</v>
      </c>
      <c r="B17" s="99"/>
      <c r="C17" s="98">
        <v>6705</v>
      </c>
      <c r="D17" s="135">
        <v>45475</v>
      </c>
      <c r="E17" s="99" t="s">
        <v>563</v>
      </c>
      <c r="F17" s="100">
        <v>100000</v>
      </c>
      <c r="G17" s="101"/>
      <c r="H17" s="98" t="s">
        <v>142</v>
      </c>
      <c r="I17" s="98"/>
      <c r="J17" s="102"/>
      <c r="K17" s="17"/>
    </row>
    <row r="18" spans="1:11">
      <c r="A18" s="98">
        <v>12</v>
      </c>
      <c r="B18" s="99"/>
      <c r="C18" s="99">
        <v>6727</v>
      </c>
      <c r="D18" s="136">
        <v>45479</v>
      </c>
      <c r="E18" s="99" t="s">
        <v>565</v>
      </c>
      <c r="F18" s="137">
        <v>555000</v>
      </c>
      <c r="G18" s="101"/>
      <c r="H18" s="98" t="s">
        <v>142</v>
      </c>
      <c r="I18" s="98"/>
      <c r="J18" s="102"/>
      <c r="K18" s="17"/>
    </row>
    <row r="19" spans="1:11" ht="22.5" customHeight="1">
      <c r="A19" s="98">
        <v>13</v>
      </c>
      <c r="B19" s="99"/>
      <c r="C19" s="98">
        <v>7587</v>
      </c>
      <c r="D19" s="135">
        <v>45650</v>
      </c>
      <c r="E19" s="99" t="s">
        <v>650</v>
      </c>
      <c r="F19" s="100">
        <v>1105000</v>
      </c>
      <c r="G19" s="101"/>
      <c r="H19" s="98" t="s">
        <v>75</v>
      </c>
      <c r="I19" s="98"/>
      <c r="J19" s="102"/>
      <c r="K19" s="17"/>
    </row>
    <row r="20" spans="1:11" ht="33" customHeight="1">
      <c r="A20" s="98">
        <v>14</v>
      </c>
      <c r="B20" s="99"/>
      <c r="C20" s="18">
        <v>9203</v>
      </c>
      <c r="D20" s="133">
        <v>45848</v>
      </c>
      <c r="E20" s="99" t="s">
        <v>812</v>
      </c>
      <c r="F20" s="100">
        <v>2135000</v>
      </c>
      <c r="G20" s="127"/>
      <c r="H20" s="98" t="s">
        <v>75</v>
      </c>
      <c r="I20" s="98"/>
      <c r="J20" s="102"/>
      <c r="K20" s="17"/>
    </row>
    <row r="21" spans="1:11">
      <c r="A21" s="98">
        <v>15</v>
      </c>
      <c r="B21" s="99"/>
      <c r="C21" s="98">
        <v>9738</v>
      </c>
      <c r="D21" s="135">
        <v>45913</v>
      </c>
      <c r="E21" s="99" t="s">
        <v>1040</v>
      </c>
      <c r="F21" s="100">
        <v>90000</v>
      </c>
      <c r="G21" s="101"/>
      <c r="H21" s="98" t="s">
        <v>75</v>
      </c>
      <c r="I21" s="98"/>
      <c r="J21" s="102"/>
      <c r="K21" s="17"/>
    </row>
    <row r="22" spans="1:11">
      <c r="A22" s="98">
        <v>16</v>
      </c>
      <c r="B22" s="99"/>
      <c r="C22" s="99">
        <v>303</v>
      </c>
      <c r="D22" s="136">
        <v>45977</v>
      </c>
      <c r="E22" s="99" t="s">
        <v>406</v>
      </c>
      <c r="F22" s="137">
        <v>190000</v>
      </c>
      <c r="G22" s="101"/>
      <c r="H22" s="98" t="s">
        <v>75</v>
      </c>
      <c r="I22" s="98"/>
      <c r="J22" s="102"/>
      <c r="K22" s="17"/>
    </row>
    <row r="23" spans="1:11">
      <c r="A23" s="98">
        <v>17</v>
      </c>
      <c r="B23" s="99"/>
      <c r="C23" s="17">
        <v>343</v>
      </c>
      <c r="D23" s="130">
        <v>45983</v>
      </c>
      <c r="E23" s="18" t="s">
        <v>1117</v>
      </c>
      <c r="F23" s="132">
        <v>640000</v>
      </c>
      <c r="G23" s="25"/>
      <c r="H23" s="17" t="s">
        <v>75</v>
      </c>
      <c r="I23" s="98"/>
      <c r="J23" s="102"/>
      <c r="K23" s="17"/>
    </row>
    <row r="24" spans="1:11">
      <c r="A24" s="98">
        <v>18</v>
      </c>
      <c r="B24" s="99"/>
      <c r="C24" s="99"/>
      <c r="D24" s="136"/>
      <c r="E24" s="99"/>
      <c r="F24" s="137"/>
      <c r="G24" s="101"/>
      <c r="H24" s="98"/>
      <c r="I24" s="98"/>
      <c r="J24" s="102"/>
      <c r="K24" s="17"/>
    </row>
    <row r="25" spans="1:11">
      <c r="A25" s="98">
        <v>19</v>
      </c>
      <c r="B25" s="99"/>
      <c r="C25" s="99"/>
      <c r="D25" s="136"/>
      <c r="E25" s="99"/>
      <c r="F25" s="137"/>
      <c r="G25" s="101"/>
      <c r="H25" s="98"/>
      <c r="I25" s="98"/>
      <c r="J25" s="102"/>
      <c r="K25" s="17"/>
    </row>
    <row r="26" spans="1:11">
      <c r="A26" s="98">
        <v>20</v>
      </c>
      <c r="B26" s="99"/>
      <c r="C26" s="99"/>
      <c r="D26" s="136"/>
      <c r="E26" s="99"/>
      <c r="F26" s="137"/>
      <c r="G26" s="101"/>
      <c r="H26" s="98"/>
      <c r="I26" s="98"/>
      <c r="J26" s="102"/>
      <c r="K26" s="17"/>
    </row>
    <row r="27" spans="1:11">
      <c r="A27" s="98">
        <v>21</v>
      </c>
      <c r="B27" s="99"/>
      <c r="C27" s="99"/>
      <c r="D27" s="136"/>
      <c r="E27" s="99"/>
      <c r="F27" s="137"/>
      <c r="G27" s="101"/>
      <c r="H27" s="98"/>
      <c r="I27" s="98"/>
      <c r="J27" s="102"/>
      <c r="K27" s="17"/>
    </row>
    <row r="28" spans="1:11">
      <c r="A28" s="98">
        <v>22</v>
      </c>
      <c r="B28" s="99"/>
      <c r="C28" s="99"/>
      <c r="D28" s="136"/>
      <c r="E28" s="99"/>
      <c r="F28" s="137"/>
      <c r="G28" s="101"/>
      <c r="H28" s="98"/>
      <c r="I28" s="98"/>
      <c r="J28" s="102"/>
      <c r="K28" s="17"/>
    </row>
    <row r="29" spans="1:11">
      <c r="A29" s="98">
        <v>23</v>
      </c>
      <c r="B29" s="99"/>
      <c r="C29" s="99"/>
      <c r="D29" s="136"/>
      <c r="E29" s="99"/>
      <c r="F29" s="137"/>
      <c r="G29" s="101"/>
      <c r="H29" s="98"/>
      <c r="I29" s="98"/>
      <c r="J29" s="102"/>
      <c r="K29" s="17"/>
    </row>
    <row r="30" spans="1:11">
      <c r="A30" s="98">
        <v>24</v>
      </c>
      <c r="B30" s="99"/>
      <c r="C30" s="99"/>
      <c r="D30" s="136"/>
      <c r="E30" s="99"/>
      <c r="F30" s="137"/>
      <c r="G30" s="101"/>
      <c r="H30" s="98"/>
      <c r="I30" s="98"/>
      <c r="J30" s="102"/>
      <c r="K30" s="17"/>
    </row>
    <row r="31" spans="1:11">
      <c r="A31" s="98">
        <v>25</v>
      </c>
      <c r="B31" s="99"/>
      <c r="C31" s="99"/>
      <c r="D31" s="136"/>
      <c r="E31" s="99"/>
      <c r="F31" s="137"/>
      <c r="G31" s="101"/>
      <c r="H31" s="98"/>
      <c r="I31" s="98"/>
      <c r="J31" s="102"/>
      <c r="K31" s="17"/>
    </row>
    <row r="32" spans="1:11">
      <c r="A32" s="98">
        <v>26</v>
      </c>
      <c r="B32" s="99"/>
      <c r="C32" s="99"/>
      <c r="D32" s="136"/>
      <c r="E32" s="99"/>
      <c r="F32" s="137"/>
      <c r="G32" s="101"/>
      <c r="H32" s="98"/>
      <c r="I32" s="98"/>
      <c r="J32" s="102"/>
      <c r="K32" s="17"/>
    </row>
    <row r="33" spans="1:11">
      <c r="A33" s="98">
        <v>27</v>
      </c>
      <c r="B33" s="99"/>
      <c r="C33" s="99"/>
      <c r="D33" s="136"/>
      <c r="E33" s="99"/>
      <c r="F33" s="137"/>
      <c r="G33" s="101"/>
      <c r="H33" s="98"/>
      <c r="I33" s="98"/>
      <c r="J33" s="102"/>
      <c r="K33" s="17"/>
    </row>
    <row r="34" spans="1:11">
      <c r="A34" s="98">
        <v>28</v>
      </c>
      <c r="B34" s="99"/>
      <c r="C34" s="99"/>
      <c r="D34" s="136"/>
      <c r="E34" s="99"/>
      <c r="F34" s="137"/>
      <c r="G34" s="101"/>
      <c r="H34" s="98"/>
      <c r="I34" s="98"/>
      <c r="J34" s="102"/>
      <c r="K34" s="17"/>
    </row>
    <row r="35" spans="1:11">
      <c r="A35" s="98">
        <v>29</v>
      </c>
      <c r="B35" s="99"/>
      <c r="C35" s="99"/>
      <c r="D35" s="136"/>
      <c r="E35" s="99"/>
      <c r="F35" s="137"/>
      <c r="G35" s="101"/>
      <c r="H35" s="98"/>
      <c r="I35" s="98"/>
      <c r="J35" s="102"/>
      <c r="K35" s="17"/>
    </row>
    <row r="36" spans="1:11">
      <c r="A36" s="98">
        <v>30</v>
      </c>
      <c r="B36" s="99"/>
      <c r="C36" s="99"/>
      <c r="D36" s="136"/>
      <c r="E36" s="99"/>
      <c r="F36" s="137"/>
      <c r="G36" s="101"/>
      <c r="H36" s="98"/>
      <c r="I36" s="98"/>
      <c r="J36" s="102"/>
      <c r="K36" s="17"/>
    </row>
    <row r="37" spans="1:11">
      <c r="A37" s="98">
        <v>31</v>
      </c>
      <c r="B37" s="99"/>
      <c r="C37" s="99"/>
      <c r="D37" s="136"/>
      <c r="E37" s="99"/>
      <c r="F37" s="137"/>
      <c r="G37" s="101"/>
      <c r="H37" s="98"/>
      <c r="I37" s="98"/>
      <c r="J37" s="102"/>
      <c r="K37" s="17"/>
    </row>
    <row r="38" spans="1:11">
      <c r="A38" s="98">
        <v>32</v>
      </c>
      <c r="B38" s="99"/>
      <c r="C38" s="99"/>
      <c r="D38" s="136"/>
      <c r="E38" s="99"/>
      <c r="F38" s="137"/>
      <c r="G38" s="101"/>
      <c r="H38" s="98"/>
      <c r="I38" s="98"/>
      <c r="J38" s="102"/>
      <c r="K38" s="17"/>
    </row>
    <row r="39" spans="1:11">
      <c r="A39" s="98">
        <v>33</v>
      </c>
      <c r="B39" s="99"/>
      <c r="C39" s="99"/>
      <c r="D39" s="136"/>
      <c r="E39" s="99"/>
      <c r="F39" s="137"/>
      <c r="G39" s="101"/>
      <c r="H39" s="98"/>
      <c r="I39" s="98"/>
      <c r="J39" s="102"/>
      <c r="K39" s="17"/>
    </row>
    <row r="40" spans="1:11">
      <c r="A40" s="98">
        <v>34</v>
      </c>
      <c r="B40" s="18"/>
      <c r="C40" s="18"/>
      <c r="D40" s="133"/>
      <c r="E40" s="18"/>
      <c r="F40" s="134"/>
      <c r="G40" s="25"/>
      <c r="H40" s="17"/>
      <c r="I40" s="17"/>
      <c r="J40" s="117"/>
      <c r="K40" s="17"/>
    </row>
    <row r="41" spans="1:11">
      <c r="A41" s="98">
        <v>35</v>
      </c>
      <c r="B41" s="18"/>
      <c r="C41" s="18"/>
      <c r="D41" s="133"/>
      <c r="E41" s="18"/>
      <c r="F41" s="134"/>
      <c r="G41" s="25"/>
      <c r="H41" s="17"/>
      <c r="I41" s="17"/>
      <c r="J41" s="117"/>
      <c r="K41" s="17"/>
    </row>
    <row r="42" spans="1:11">
      <c r="A42" s="98">
        <v>36</v>
      </c>
      <c r="B42" s="18"/>
      <c r="C42" s="18"/>
      <c r="D42" s="133"/>
      <c r="E42" s="18"/>
      <c r="F42" s="134"/>
      <c r="G42" s="25"/>
      <c r="H42" s="17"/>
      <c r="I42" s="17"/>
      <c r="J42" s="117"/>
      <c r="K42" s="17"/>
    </row>
    <row r="43" spans="1:11">
      <c r="A43" s="98">
        <v>37</v>
      </c>
      <c r="B43" s="18"/>
      <c r="C43" s="18"/>
      <c r="D43" s="133"/>
      <c r="E43" s="18"/>
      <c r="F43" s="134"/>
      <c r="G43" s="25"/>
      <c r="H43" s="17"/>
      <c r="I43" s="17"/>
      <c r="J43" s="117"/>
      <c r="K43" s="17"/>
    </row>
    <row r="44" spans="1:11">
      <c r="A44" s="98">
        <v>38</v>
      </c>
      <c r="B44" s="18"/>
      <c r="C44" s="18"/>
      <c r="D44" s="133"/>
      <c r="E44" s="18"/>
      <c r="F44" s="134"/>
      <c r="G44" s="25"/>
      <c r="H44" s="17"/>
      <c r="I44" s="17"/>
      <c r="J44" s="117"/>
      <c r="K44" s="17"/>
    </row>
    <row r="45" spans="1:11">
      <c r="A45" s="98">
        <v>39</v>
      </c>
      <c r="B45" s="18"/>
      <c r="C45" s="18"/>
      <c r="D45" s="133"/>
      <c r="E45" s="18"/>
      <c r="F45" s="134"/>
      <c r="G45" s="25"/>
      <c r="H45" s="17"/>
      <c r="I45" s="17"/>
      <c r="J45" s="117"/>
      <c r="K45" s="17"/>
    </row>
    <row r="46" spans="1:11">
      <c r="A46" s="98">
        <v>40</v>
      </c>
      <c r="B46" s="18"/>
      <c r="C46" s="18"/>
      <c r="D46" s="133"/>
      <c r="E46" s="18"/>
      <c r="F46" s="134"/>
      <c r="G46" s="25"/>
      <c r="H46" s="17"/>
      <c r="I46" s="17"/>
      <c r="J46" s="117"/>
      <c r="K46" s="17"/>
    </row>
    <row r="47" spans="1:11">
      <c r="A47" s="98">
        <v>41</v>
      </c>
      <c r="B47" s="18"/>
      <c r="C47" s="18"/>
      <c r="D47" s="133"/>
      <c r="E47" s="18"/>
      <c r="F47" s="134"/>
      <c r="G47" s="25"/>
      <c r="H47" s="17"/>
      <c r="I47" s="17"/>
      <c r="J47" s="117"/>
      <c r="K47" s="17"/>
    </row>
    <row r="48" spans="1:11">
      <c r="A48" s="98">
        <v>42</v>
      </c>
      <c r="B48" s="18"/>
      <c r="C48" s="18"/>
      <c r="D48" s="133"/>
      <c r="E48" s="18"/>
      <c r="F48" s="134"/>
      <c r="G48" s="25"/>
      <c r="H48" s="17"/>
      <c r="I48" s="17"/>
      <c r="J48" s="117"/>
      <c r="K48" s="17"/>
    </row>
    <row r="49" spans="1:11">
      <c r="A49" s="98">
        <v>43</v>
      </c>
      <c r="B49" s="18"/>
      <c r="C49" s="18"/>
      <c r="D49" s="133"/>
      <c r="E49" s="18"/>
      <c r="F49" s="134"/>
      <c r="G49" s="25"/>
      <c r="H49" s="17"/>
      <c r="I49" s="17"/>
      <c r="J49" s="117"/>
      <c r="K49" s="17"/>
    </row>
    <row r="50" spans="1:11">
      <c r="A50" s="98">
        <v>44</v>
      </c>
      <c r="B50" s="18"/>
      <c r="C50" s="18"/>
      <c r="D50" s="133"/>
      <c r="E50" s="18"/>
      <c r="F50" s="134"/>
      <c r="G50" s="25"/>
      <c r="H50" s="17"/>
      <c r="I50" s="17"/>
      <c r="J50" s="117"/>
      <c r="K50" s="17"/>
    </row>
    <row r="51" spans="1:11">
      <c r="A51" s="98">
        <v>45</v>
      </c>
      <c r="B51" s="18"/>
      <c r="C51" s="18"/>
      <c r="D51" s="133"/>
      <c r="E51" s="18"/>
      <c r="F51" s="134"/>
      <c r="G51" s="25"/>
      <c r="H51" s="17"/>
      <c r="I51" s="17"/>
      <c r="J51" s="117"/>
      <c r="K51" s="17"/>
    </row>
    <row r="52" spans="1:11">
      <c r="A52" s="98">
        <v>46</v>
      </c>
      <c r="B52" s="18"/>
      <c r="C52" s="18"/>
      <c r="D52" s="133"/>
      <c r="E52" s="18"/>
      <c r="F52" s="134"/>
      <c r="G52" s="25"/>
      <c r="H52" s="17"/>
      <c r="I52" s="17"/>
      <c r="J52" s="117"/>
      <c r="K52" s="17"/>
    </row>
    <row r="53" spans="1:11">
      <c r="A53" s="98">
        <v>47</v>
      </c>
      <c r="B53" s="18"/>
      <c r="C53" s="18"/>
      <c r="D53" s="133"/>
      <c r="E53" s="18"/>
      <c r="F53" s="134"/>
      <c r="G53" s="25"/>
      <c r="H53" s="17"/>
      <c r="I53" s="17"/>
      <c r="J53" s="117"/>
      <c r="K53" s="17"/>
    </row>
    <row r="54" spans="1:11">
      <c r="A54" s="98">
        <v>48</v>
      </c>
      <c r="B54" s="18"/>
      <c r="C54" s="18"/>
      <c r="D54" s="133"/>
      <c r="E54" s="18"/>
      <c r="F54" s="134"/>
      <c r="G54" s="25"/>
      <c r="H54" s="17"/>
      <c r="I54" s="17"/>
      <c r="J54" s="117"/>
      <c r="K54" s="17"/>
    </row>
    <row r="55" spans="1:11">
      <c r="A55" s="98">
        <v>49</v>
      </c>
      <c r="B55" s="18"/>
      <c r="C55" s="18"/>
      <c r="D55" s="133"/>
      <c r="E55" s="18"/>
      <c r="F55" s="134"/>
      <c r="G55" s="25"/>
      <c r="H55" s="17"/>
      <c r="I55" s="17"/>
      <c r="J55" s="117"/>
      <c r="K55" s="17"/>
    </row>
    <row r="56" spans="1:11">
      <c r="A56" s="98">
        <v>50</v>
      </c>
      <c r="B56" s="18"/>
      <c r="C56" s="18"/>
      <c r="D56" s="133"/>
      <c r="E56" s="18"/>
      <c r="F56" s="134"/>
      <c r="G56" s="25"/>
      <c r="H56" s="17"/>
      <c r="I56" s="17"/>
      <c r="J56" s="117"/>
      <c r="K56" s="17"/>
    </row>
    <row r="57" spans="1:11">
      <c r="A57" s="98">
        <v>51</v>
      </c>
      <c r="B57" s="17"/>
      <c r="C57" s="17"/>
      <c r="D57" s="17"/>
      <c r="E57" s="18"/>
      <c r="F57" s="132"/>
      <c r="G57" s="25"/>
      <c r="H57" s="17"/>
      <c r="I57" s="17"/>
      <c r="J57" s="117"/>
      <c r="K57" s="17"/>
    </row>
    <row r="58" spans="1:11">
      <c r="A58" s="98">
        <v>52</v>
      </c>
      <c r="B58" s="17"/>
      <c r="C58" s="17"/>
      <c r="D58" s="17"/>
      <c r="E58" s="18"/>
      <c r="F58" s="132"/>
      <c r="G58" s="25"/>
      <c r="H58" s="17"/>
      <c r="I58" s="17"/>
      <c r="J58" s="117"/>
      <c r="K58" s="17"/>
    </row>
    <row r="59" spans="1:11">
      <c r="A59" s="108"/>
      <c r="B59" s="212" t="s">
        <v>98</v>
      </c>
      <c r="C59" s="213"/>
      <c r="D59" s="108"/>
      <c r="E59" s="118"/>
      <c r="F59" s="119">
        <f>SUM(F7:F58)</f>
        <v>14910000</v>
      </c>
      <c r="G59" s="120">
        <f>SUM(G7:G58)</f>
        <v>1200</v>
      </c>
      <c r="H59" s="108"/>
      <c r="I59" s="108"/>
      <c r="J59" s="121"/>
      <c r="K59" s="108"/>
    </row>
    <row r="60" spans="1:11">
      <c r="J60" s="115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59:C59"/>
  </mergeCells>
  <hyperlinks>
    <hyperlink ref="K2" location="الاليات!A1" display="الاليات " xr:uid="{00000000-0004-0000-4F00-000000000000}"/>
  </hyperlinks>
  <pageMargins left="0.7" right="0.7" top="0.75" bottom="0.75" header="0.3" footer="0.3"/>
  <pageSetup paperSize="9" scale="44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K134"/>
  <sheetViews>
    <sheetView rightToLeft="1" view="pageBreakPreview" zoomScale="120" zoomScaleNormal="100" zoomScaleSheetLayoutView="12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2.88671875" style="1" bestFit="1" customWidth="1"/>
    <col min="4" max="4" width="12.77734375" style="1" bestFit="1" customWidth="1"/>
    <col min="5" max="5" width="27.6640625" style="73" customWidth="1"/>
    <col min="6" max="6" width="16.33203125" style="114" bestFit="1" customWidth="1"/>
    <col min="7" max="7" width="7.664062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76</v>
      </c>
      <c r="B2" s="202" t="s">
        <v>51</v>
      </c>
      <c r="C2" s="203"/>
      <c r="D2" s="138"/>
      <c r="E2" s="86" t="s">
        <v>8</v>
      </c>
      <c r="F2" s="87">
        <v>2009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929</v>
      </c>
      <c r="D3" s="35"/>
      <c r="E3" s="86" t="s">
        <v>68</v>
      </c>
      <c r="F3" s="140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8" t="s">
        <v>75</v>
      </c>
      <c r="C7" s="98">
        <v>4266</v>
      </c>
      <c r="D7" s="135">
        <v>45047</v>
      </c>
      <c r="E7" s="99" t="s">
        <v>115</v>
      </c>
      <c r="F7" s="100"/>
      <c r="G7" s="101">
        <v>420</v>
      </c>
      <c r="H7" s="98" t="s">
        <v>75</v>
      </c>
      <c r="I7" s="98"/>
      <c r="J7" s="102"/>
      <c r="K7" s="17"/>
    </row>
    <row r="8" spans="1:11">
      <c r="A8" s="98">
        <v>2</v>
      </c>
      <c r="B8" s="98" t="s">
        <v>75</v>
      </c>
      <c r="C8" s="98">
        <v>4266</v>
      </c>
      <c r="D8" s="135">
        <v>45047</v>
      </c>
      <c r="E8" s="99" t="s">
        <v>197</v>
      </c>
      <c r="F8" s="100"/>
      <c r="G8" s="101">
        <v>290</v>
      </c>
      <c r="H8" s="98" t="s">
        <v>75</v>
      </c>
      <c r="I8" s="98"/>
      <c r="J8" s="102"/>
      <c r="K8" s="17"/>
    </row>
    <row r="9" spans="1:11" ht="29.4" customHeight="1">
      <c r="A9" s="98">
        <v>3</v>
      </c>
      <c r="B9" s="98" t="s">
        <v>138</v>
      </c>
      <c r="C9" s="98"/>
      <c r="D9" s="135">
        <v>44940</v>
      </c>
      <c r="E9" s="99" t="s">
        <v>211</v>
      </c>
      <c r="F9" s="100">
        <v>115000</v>
      </c>
      <c r="G9" s="101"/>
      <c r="H9" s="102" t="s">
        <v>153</v>
      </c>
      <c r="I9" s="98"/>
      <c r="J9" s="102"/>
      <c r="K9" s="17"/>
    </row>
    <row r="10" spans="1:11">
      <c r="A10" s="98">
        <v>4</v>
      </c>
      <c r="B10" s="109" t="s">
        <v>138</v>
      </c>
      <c r="C10" s="98"/>
      <c r="D10" s="135">
        <v>44942</v>
      </c>
      <c r="E10" s="99" t="s">
        <v>210</v>
      </c>
      <c r="F10" s="100">
        <v>15000</v>
      </c>
      <c r="G10" s="101"/>
      <c r="H10" s="102" t="s">
        <v>153</v>
      </c>
      <c r="I10" s="98"/>
      <c r="J10" s="102"/>
      <c r="K10" s="17"/>
    </row>
    <row r="11" spans="1:11">
      <c r="A11" s="98">
        <v>5</v>
      </c>
      <c r="B11" s="98" t="s">
        <v>138</v>
      </c>
      <c r="C11" s="98"/>
      <c r="D11" s="135">
        <v>44943</v>
      </c>
      <c r="E11" s="99" t="s">
        <v>209</v>
      </c>
      <c r="F11" s="100">
        <v>35000</v>
      </c>
      <c r="G11" s="101"/>
      <c r="H11" s="102" t="s">
        <v>153</v>
      </c>
      <c r="I11" s="98"/>
      <c r="J11" s="102"/>
      <c r="K11" s="17"/>
    </row>
    <row r="12" spans="1:11" ht="34.799999999999997">
      <c r="A12" s="98">
        <v>6</v>
      </c>
      <c r="B12" s="98" t="s">
        <v>138</v>
      </c>
      <c r="C12" s="98"/>
      <c r="D12" s="135">
        <v>44943</v>
      </c>
      <c r="E12" s="99" t="s">
        <v>208</v>
      </c>
      <c r="F12" s="100">
        <v>60000</v>
      </c>
      <c r="G12" s="101"/>
      <c r="H12" s="102" t="s">
        <v>153</v>
      </c>
      <c r="I12" s="98"/>
      <c r="J12" s="102"/>
      <c r="K12" s="17"/>
    </row>
    <row r="13" spans="1:11">
      <c r="A13" s="98">
        <v>7</v>
      </c>
      <c r="B13" s="98" t="s">
        <v>153</v>
      </c>
      <c r="C13" s="98"/>
      <c r="D13" s="135">
        <v>45150</v>
      </c>
      <c r="E13" s="99" t="s">
        <v>119</v>
      </c>
      <c r="F13" s="100">
        <v>40000</v>
      </c>
      <c r="G13" s="101"/>
      <c r="H13" s="102" t="s">
        <v>121</v>
      </c>
      <c r="I13" s="98"/>
      <c r="J13" s="102"/>
      <c r="K13" s="17"/>
    </row>
    <row r="14" spans="1:11">
      <c r="A14" s="98">
        <v>8</v>
      </c>
      <c r="B14" s="98" t="s">
        <v>121</v>
      </c>
      <c r="C14" s="98"/>
      <c r="D14" s="135">
        <v>45274</v>
      </c>
      <c r="E14" s="99" t="s">
        <v>253</v>
      </c>
      <c r="F14" s="100">
        <v>50000</v>
      </c>
      <c r="G14" s="101"/>
      <c r="H14" s="102" t="s">
        <v>121</v>
      </c>
      <c r="I14" s="98"/>
      <c r="J14" s="102"/>
      <c r="K14" s="17"/>
    </row>
    <row r="15" spans="1:11">
      <c r="A15" s="98">
        <v>9</v>
      </c>
      <c r="B15" s="98" t="s">
        <v>75</v>
      </c>
      <c r="C15" s="98">
        <v>4560</v>
      </c>
      <c r="D15" s="135" t="s">
        <v>257</v>
      </c>
      <c r="E15" s="99" t="s">
        <v>259</v>
      </c>
      <c r="F15" s="100"/>
      <c r="G15" s="101">
        <v>810</v>
      </c>
      <c r="H15" s="102" t="s">
        <v>75</v>
      </c>
      <c r="I15" s="98"/>
      <c r="J15" s="102"/>
      <c r="K15" s="17"/>
    </row>
    <row r="16" spans="1:11">
      <c r="A16" s="98">
        <v>10</v>
      </c>
      <c r="B16" s="98"/>
      <c r="C16" s="98">
        <v>4765</v>
      </c>
      <c r="D16" s="135">
        <v>45050</v>
      </c>
      <c r="E16" s="99" t="s">
        <v>135</v>
      </c>
      <c r="F16" s="100">
        <v>7160000</v>
      </c>
      <c r="G16" s="101"/>
      <c r="H16" s="102"/>
      <c r="I16" s="98"/>
      <c r="J16" s="102"/>
      <c r="K16" s="17"/>
    </row>
    <row r="17" spans="1:11">
      <c r="A17" s="98">
        <v>11</v>
      </c>
      <c r="B17" s="98"/>
      <c r="C17" s="98" t="s">
        <v>292</v>
      </c>
      <c r="D17" s="135" t="s">
        <v>291</v>
      </c>
      <c r="E17" s="99" t="s">
        <v>290</v>
      </c>
      <c r="F17" s="100">
        <v>460000</v>
      </c>
      <c r="G17" s="101"/>
      <c r="H17" s="102"/>
      <c r="I17" s="98"/>
      <c r="J17" s="102"/>
      <c r="K17" s="17"/>
    </row>
    <row r="18" spans="1:11">
      <c r="A18" s="98">
        <v>12</v>
      </c>
      <c r="B18" s="98"/>
      <c r="C18" s="98">
        <v>4984</v>
      </c>
      <c r="D18" s="135" t="s">
        <v>302</v>
      </c>
      <c r="E18" s="99" t="s">
        <v>259</v>
      </c>
      <c r="F18" s="100"/>
      <c r="G18" s="101">
        <v>650</v>
      </c>
      <c r="H18" s="102" t="s">
        <v>75</v>
      </c>
      <c r="I18" s="98"/>
      <c r="J18" s="102"/>
      <c r="K18" s="17"/>
    </row>
    <row r="19" spans="1:11">
      <c r="A19" s="98">
        <v>13</v>
      </c>
      <c r="B19" s="98"/>
      <c r="C19" s="98" t="s">
        <v>344</v>
      </c>
      <c r="D19" s="135" t="s">
        <v>345</v>
      </c>
      <c r="E19" s="99" t="s">
        <v>346</v>
      </c>
      <c r="F19" s="100">
        <v>169000</v>
      </c>
      <c r="G19" s="101"/>
      <c r="H19" s="102"/>
      <c r="I19" s="98"/>
      <c r="J19" s="102"/>
      <c r="K19" s="17"/>
    </row>
    <row r="20" spans="1:11">
      <c r="A20" s="98">
        <v>14</v>
      </c>
      <c r="B20" s="98"/>
      <c r="C20" s="98" t="s">
        <v>344</v>
      </c>
      <c r="D20" s="135" t="s">
        <v>345</v>
      </c>
      <c r="E20" s="99" t="s">
        <v>348</v>
      </c>
      <c r="F20" s="100">
        <v>50000</v>
      </c>
      <c r="G20" s="101"/>
      <c r="H20" s="102"/>
      <c r="I20" s="98"/>
      <c r="J20" s="102"/>
      <c r="K20" s="17"/>
    </row>
    <row r="21" spans="1:11" ht="28.2" customHeight="1">
      <c r="A21" s="98">
        <v>15</v>
      </c>
      <c r="B21" s="98"/>
      <c r="C21" s="98">
        <v>5792</v>
      </c>
      <c r="D21" s="98" t="s">
        <v>373</v>
      </c>
      <c r="E21" s="99" t="s">
        <v>434</v>
      </c>
      <c r="F21" s="100">
        <v>1422000</v>
      </c>
      <c r="G21" s="101"/>
      <c r="H21" s="98" t="s">
        <v>75</v>
      </c>
      <c r="I21" s="98"/>
      <c r="J21" s="102"/>
      <c r="K21" s="17"/>
    </row>
    <row r="22" spans="1:11">
      <c r="A22" s="98">
        <v>16</v>
      </c>
      <c r="B22" s="98"/>
      <c r="C22" s="98">
        <v>6049</v>
      </c>
      <c r="D22" s="98" t="s">
        <v>370</v>
      </c>
      <c r="E22" s="99" t="s">
        <v>446</v>
      </c>
      <c r="F22" s="100">
        <v>235000</v>
      </c>
      <c r="G22" s="101">
        <v>1600</v>
      </c>
      <c r="H22" s="98" t="s">
        <v>75</v>
      </c>
      <c r="I22" s="98"/>
      <c r="J22" s="102"/>
      <c r="K22" s="17"/>
    </row>
    <row r="23" spans="1:11">
      <c r="A23" s="98"/>
      <c r="B23" s="98"/>
      <c r="C23" s="98">
        <v>6758</v>
      </c>
      <c r="D23" s="98" t="s">
        <v>545</v>
      </c>
      <c r="E23" s="99" t="s">
        <v>552</v>
      </c>
      <c r="F23" s="100">
        <v>100000</v>
      </c>
      <c r="G23" s="101"/>
      <c r="H23" s="98" t="s">
        <v>75</v>
      </c>
      <c r="I23" s="98"/>
      <c r="J23" s="102"/>
      <c r="K23" s="17"/>
    </row>
    <row r="24" spans="1:11">
      <c r="A24" s="98"/>
      <c r="B24" s="98"/>
      <c r="C24" s="17">
        <v>6854</v>
      </c>
      <c r="D24" s="130">
        <v>45508</v>
      </c>
      <c r="E24" s="18" t="s">
        <v>554</v>
      </c>
      <c r="F24" s="132">
        <v>685000</v>
      </c>
      <c r="G24" s="25"/>
      <c r="H24" s="17" t="s">
        <v>278</v>
      </c>
      <c r="I24" s="98"/>
      <c r="J24" s="102"/>
      <c r="K24" s="17"/>
    </row>
    <row r="25" spans="1:11" ht="31.95" customHeight="1">
      <c r="A25" s="98"/>
      <c r="B25" s="98"/>
      <c r="C25" s="98"/>
      <c r="D25" s="135">
        <v>45580</v>
      </c>
      <c r="E25" s="99" t="s">
        <v>589</v>
      </c>
      <c r="F25" s="100">
        <v>1560000</v>
      </c>
      <c r="G25" s="101"/>
      <c r="H25" s="102" t="s">
        <v>75</v>
      </c>
      <c r="I25" s="98"/>
      <c r="J25" s="102"/>
      <c r="K25" s="17"/>
    </row>
    <row r="26" spans="1:11" ht="30.6" customHeight="1">
      <c r="A26" s="98"/>
      <c r="B26" s="98"/>
      <c r="C26" s="17">
        <v>7580</v>
      </c>
      <c r="D26" s="130">
        <v>45649</v>
      </c>
      <c r="E26" s="18" t="s">
        <v>638</v>
      </c>
      <c r="F26" s="132">
        <v>151000</v>
      </c>
      <c r="G26" s="25"/>
      <c r="H26" s="17" t="s">
        <v>75</v>
      </c>
      <c r="I26" s="98"/>
      <c r="J26" s="102"/>
      <c r="K26" s="17"/>
    </row>
    <row r="27" spans="1:11" ht="30.6" customHeight="1">
      <c r="A27" s="98"/>
      <c r="B27" s="98"/>
      <c r="C27" s="98">
        <v>7587</v>
      </c>
      <c r="D27" s="135">
        <v>45650</v>
      </c>
      <c r="E27" s="99" t="s">
        <v>664</v>
      </c>
      <c r="F27" s="100">
        <v>730000</v>
      </c>
      <c r="G27" s="101"/>
      <c r="H27" s="98" t="s">
        <v>75</v>
      </c>
      <c r="I27" s="98"/>
      <c r="J27" s="102"/>
      <c r="K27" s="17"/>
    </row>
    <row r="28" spans="1:11">
      <c r="A28" s="98"/>
      <c r="B28" s="98"/>
      <c r="C28" s="17">
        <v>7621</v>
      </c>
      <c r="D28" s="130">
        <v>45655</v>
      </c>
      <c r="E28" s="18" t="s">
        <v>259</v>
      </c>
      <c r="F28" s="132"/>
      <c r="G28" s="25">
        <v>800</v>
      </c>
      <c r="H28" s="17" t="s">
        <v>75</v>
      </c>
      <c r="I28" s="98"/>
      <c r="J28" s="102"/>
      <c r="K28" s="17"/>
    </row>
    <row r="29" spans="1:11" ht="26.4" customHeight="1">
      <c r="A29" s="98"/>
      <c r="B29" s="98"/>
      <c r="C29" s="98">
        <v>7717</v>
      </c>
      <c r="D29" s="135">
        <v>45676</v>
      </c>
      <c r="E29" s="99" t="s">
        <v>687</v>
      </c>
      <c r="F29" s="100">
        <v>210000</v>
      </c>
      <c r="G29" s="127"/>
      <c r="H29" s="98" t="s">
        <v>75</v>
      </c>
      <c r="I29" s="98"/>
      <c r="J29" s="102"/>
      <c r="K29" s="17"/>
    </row>
    <row r="30" spans="1:11" ht="29.4" customHeight="1">
      <c r="A30" s="17"/>
      <c r="B30" s="17"/>
      <c r="C30" s="98">
        <v>7829</v>
      </c>
      <c r="D30" s="135">
        <v>45696</v>
      </c>
      <c r="E30" s="99" t="s">
        <v>706</v>
      </c>
      <c r="F30" s="100">
        <v>315000</v>
      </c>
      <c r="G30" s="101"/>
      <c r="H30" s="98" t="s">
        <v>75</v>
      </c>
      <c r="I30" s="17"/>
      <c r="J30" s="117"/>
      <c r="K30" s="17"/>
    </row>
    <row r="31" spans="1:11">
      <c r="A31" s="17"/>
      <c r="B31" s="17"/>
      <c r="C31" s="17">
        <v>7992</v>
      </c>
      <c r="D31" s="130">
        <v>45722</v>
      </c>
      <c r="E31" s="18" t="s">
        <v>259</v>
      </c>
      <c r="F31" s="24">
        <v>1265000</v>
      </c>
      <c r="G31" s="116"/>
      <c r="H31" s="17" t="s">
        <v>75</v>
      </c>
      <c r="I31" s="17"/>
      <c r="J31" s="117"/>
      <c r="K31" s="17"/>
    </row>
    <row r="32" spans="1:11">
      <c r="A32" s="17"/>
      <c r="B32" s="17"/>
      <c r="C32" s="17">
        <v>8152</v>
      </c>
      <c r="D32" s="130">
        <v>45760</v>
      </c>
      <c r="E32" s="18" t="s">
        <v>747</v>
      </c>
      <c r="F32" s="132">
        <v>25000</v>
      </c>
      <c r="G32" s="25"/>
      <c r="H32" s="117" t="s">
        <v>75</v>
      </c>
      <c r="I32" s="17"/>
      <c r="J32" s="117"/>
      <c r="K32" s="17"/>
    </row>
    <row r="33" spans="1:11" ht="27" customHeight="1">
      <c r="A33" s="17"/>
      <c r="B33" s="17"/>
      <c r="C33" s="17">
        <v>8713</v>
      </c>
      <c r="D33" s="130">
        <v>45777</v>
      </c>
      <c r="E33" s="18" t="s">
        <v>760</v>
      </c>
      <c r="F33" s="132">
        <v>620000</v>
      </c>
      <c r="G33" s="25"/>
      <c r="H33" s="117" t="s">
        <v>75</v>
      </c>
      <c r="I33" s="17"/>
      <c r="J33" s="117"/>
      <c r="K33" s="17"/>
    </row>
    <row r="34" spans="1:11" ht="16.95" customHeight="1">
      <c r="A34" s="17"/>
      <c r="B34" s="17"/>
      <c r="C34" s="99">
        <v>8806</v>
      </c>
      <c r="D34" s="136">
        <v>45791</v>
      </c>
      <c r="E34" s="99" t="s">
        <v>775</v>
      </c>
      <c r="F34" s="137">
        <v>5019000</v>
      </c>
      <c r="G34" s="127"/>
      <c r="H34" s="98" t="s">
        <v>75</v>
      </c>
      <c r="I34" s="17"/>
      <c r="J34" s="117"/>
      <c r="K34" s="17"/>
    </row>
    <row r="35" spans="1:11">
      <c r="A35" s="17"/>
      <c r="B35" s="17"/>
      <c r="C35" s="17">
        <v>9087</v>
      </c>
      <c r="D35" s="130">
        <v>45836</v>
      </c>
      <c r="E35" s="18" t="s">
        <v>618</v>
      </c>
      <c r="F35" s="24">
        <v>900000</v>
      </c>
      <c r="G35" s="116"/>
      <c r="H35" s="17" t="s">
        <v>75</v>
      </c>
      <c r="I35" s="17"/>
      <c r="J35" s="117"/>
      <c r="K35" s="17"/>
    </row>
    <row r="36" spans="1:11">
      <c r="A36" s="17"/>
      <c r="B36" s="17"/>
      <c r="C36" s="18">
        <v>9539</v>
      </c>
      <c r="D36" s="133">
        <v>45890</v>
      </c>
      <c r="E36" s="18" t="s">
        <v>1009</v>
      </c>
      <c r="F36" s="134">
        <v>50000</v>
      </c>
      <c r="G36" s="116"/>
      <c r="H36" s="17" t="s">
        <v>75</v>
      </c>
      <c r="I36" s="17"/>
      <c r="J36" s="117"/>
      <c r="K36" s="17"/>
    </row>
    <row r="37" spans="1:11">
      <c r="A37" s="17"/>
      <c r="B37" s="17"/>
      <c r="C37" s="17">
        <v>303</v>
      </c>
      <c r="D37" s="130">
        <v>45977</v>
      </c>
      <c r="E37" s="18" t="s">
        <v>1093</v>
      </c>
      <c r="F37" s="132">
        <v>227000</v>
      </c>
      <c r="G37" s="25"/>
      <c r="H37" s="117" t="s">
        <v>75</v>
      </c>
      <c r="I37" s="17"/>
      <c r="J37" s="117"/>
      <c r="K37" s="17"/>
    </row>
    <row r="38" spans="1:11" ht="19.2" customHeight="1">
      <c r="A38" s="17"/>
      <c r="B38" s="17"/>
      <c r="C38" s="98">
        <v>343</v>
      </c>
      <c r="D38" s="135">
        <v>45983</v>
      </c>
      <c r="E38" s="99" t="s">
        <v>618</v>
      </c>
      <c r="F38" s="100">
        <v>745000</v>
      </c>
      <c r="G38" s="101"/>
      <c r="H38" s="98" t="s">
        <v>75</v>
      </c>
      <c r="I38" s="17"/>
      <c r="J38" s="117"/>
      <c r="K38" s="17"/>
    </row>
    <row r="39" spans="1:11" ht="52.2">
      <c r="A39" s="17"/>
      <c r="B39" s="17"/>
      <c r="C39" s="98">
        <v>559</v>
      </c>
      <c r="D39" s="135">
        <v>46011</v>
      </c>
      <c r="E39" s="160" t="s">
        <v>1129</v>
      </c>
      <c r="F39" s="100">
        <v>890000</v>
      </c>
      <c r="G39" s="101"/>
      <c r="H39" s="98" t="s">
        <v>75</v>
      </c>
      <c r="I39" s="17"/>
      <c r="J39" s="117"/>
      <c r="K39" s="17"/>
    </row>
    <row r="40" spans="1:11" ht="25.95" customHeight="1">
      <c r="A40" s="17"/>
      <c r="B40" s="17"/>
      <c r="C40" s="17">
        <v>615</v>
      </c>
      <c r="D40" s="130">
        <v>46018</v>
      </c>
      <c r="E40" s="18" t="s">
        <v>1140</v>
      </c>
      <c r="F40" s="132">
        <v>275000</v>
      </c>
      <c r="G40" s="25">
        <v>1250</v>
      </c>
      <c r="H40" s="117" t="s">
        <v>75</v>
      </c>
      <c r="I40" s="17"/>
      <c r="J40" s="117"/>
      <c r="K40" s="17"/>
    </row>
    <row r="41" spans="1:11" ht="34.799999999999997">
      <c r="A41" s="17"/>
      <c r="B41" s="17"/>
      <c r="C41" s="98">
        <v>960</v>
      </c>
      <c r="D41" s="135">
        <v>46358</v>
      </c>
      <c r="E41" s="99" t="s">
        <v>1199</v>
      </c>
      <c r="F41" s="100">
        <v>185000</v>
      </c>
      <c r="G41" s="101"/>
      <c r="H41" s="102" t="s">
        <v>75</v>
      </c>
      <c r="I41" s="17"/>
      <c r="J41" s="117"/>
      <c r="K41" s="17"/>
    </row>
    <row r="42" spans="1:11" ht="52.2">
      <c r="A42" s="17"/>
      <c r="B42" s="17"/>
      <c r="C42" s="17">
        <v>1281</v>
      </c>
      <c r="D42" s="17" t="s">
        <v>1256</v>
      </c>
      <c r="E42" s="18" t="s">
        <v>1266</v>
      </c>
      <c r="F42" s="132">
        <v>253000</v>
      </c>
      <c r="G42" s="116"/>
      <c r="H42" s="17" t="s">
        <v>75</v>
      </c>
      <c r="I42" s="17"/>
      <c r="J42" s="117"/>
      <c r="K42" s="17"/>
    </row>
    <row r="43" spans="1:11">
      <c r="A43" s="17"/>
      <c r="B43" s="17"/>
      <c r="C43" s="98"/>
      <c r="D43" s="135"/>
      <c r="E43" s="99"/>
      <c r="F43" s="100"/>
      <c r="G43" s="101"/>
      <c r="H43" s="102"/>
      <c r="I43" s="17"/>
      <c r="J43" s="117"/>
      <c r="K43" s="17"/>
    </row>
    <row r="44" spans="1:11">
      <c r="A44" s="17"/>
      <c r="B44" s="17"/>
      <c r="C44" s="98"/>
      <c r="D44" s="135"/>
      <c r="E44" s="99"/>
      <c r="F44" s="100"/>
      <c r="G44" s="101"/>
      <c r="H44" s="102"/>
      <c r="I44" s="17"/>
      <c r="J44" s="117"/>
      <c r="K44" s="17"/>
    </row>
    <row r="45" spans="1:11">
      <c r="A45" s="17"/>
      <c r="B45" s="17"/>
      <c r="C45" s="98"/>
      <c r="D45" s="135"/>
      <c r="E45" s="99"/>
      <c r="F45" s="100"/>
      <c r="G45" s="101"/>
      <c r="H45" s="102"/>
      <c r="I45" s="17"/>
      <c r="J45" s="117"/>
      <c r="K45" s="17"/>
    </row>
    <row r="46" spans="1:11">
      <c r="A46" s="17"/>
      <c r="B46" s="17"/>
      <c r="C46" s="98"/>
      <c r="D46" s="135"/>
      <c r="E46" s="99"/>
      <c r="F46" s="100"/>
      <c r="G46" s="101"/>
      <c r="H46" s="102"/>
      <c r="I46" s="17"/>
      <c r="J46" s="117"/>
      <c r="K46" s="17"/>
    </row>
    <row r="47" spans="1:11">
      <c r="A47" s="17"/>
      <c r="B47" s="17"/>
      <c r="C47" s="98"/>
      <c r="D47" s="135"/>
      <c r="E47" s="99"/>
      <c r="F47" s="100"/>
      <c r="G47" s="101"/>
      <c r="H47" s="102"/>
      <c r="I47" s="17"/>
      <c r="J47" s="117"/>
      <c r="K47" s="17"/>
    </row>
    <row r="48" spans="1:11">
      <c r="A48" s="17"/>
      <c r="B48" s="17"/>
      <c r="C48" s="98"/>
      <c r="D48" s="135"/>
      <c r="E48" s="99"/>
      <c r="F48" s="100"/>
      <c r="G48" s="101"/>
      <c r="H48" s="102"/>
      <c r="I48" s="17"/>
      <c r="J48" s="117"/>
      <c r="K48" s="17"/>
    </row>
    <row r="49" spans="1:11">
      <c r="A49" s="17"/>
      <c r="B49" s="17"/>
      <c r="C49" s="98"/>
      <c r="D49" s="135"/>
      <c r="E49" s="99"/>
      <c r="F49" s="100"/>
      <c r="G49" s="101"/>
      <c r="H49" s="102"/>
      <c r="I49" s="17"/>
      <c r="J49" s="117"/>
      <c r="K49" s="17"/>
    </row>
    <row r="50" spans="1:11">
      <c r="A50" s="17"/>
      <c r="B50" s="17"/>
      <c r="C50" s="98"/>
      <c r="D50" s="135"/>
      <c r="E50" s="99"/>
      <c r="F50" s="100"/>
      <c r="G50" s="101"/>
      <c r="H50" s="102"/>
      <c r="I50" s="17"/>
      <c r="J50" s="117"/>
      <c r="K50" s="17"/>
    </row>
    <row r="51" spans="1:11">
      <c r="A51" s="17"/>
      <c r="B51" s="17"/>
      <c r="C51" s="98"/>
      <c r="D51" s="135"/>
      <c r="E51" s="99"/>
      <c r="F51" s="100"/>
      <c r="G51" s="101"/>
      <c r="H51" s="102"/>
      <c r="I51" s="17"/>
      <c r="J51" s="117"/>
      <c r="K51" s="17"/>
    </row>
    <row r="52" spans="1:11">
      <c r="A52" s="17"/>
      <c r="B52" s="17"/>
      <c r="C52" s="98"/>
      <c r="D52" s="135"/>
      <c r="E52" s="99"/>
      <c r="F52" s="100"/>
      <c r="G52" s="101"/>
      <c r="H52" s="102"/>
      <c r="I52" s="17"/>
      <c r="J52" s="117"/>
      <c r="K52" s="17"/>
    </row>
    <row r="53" spans="1:11">
      <c r="A53" s="17"/>
      <c r="B53" s="17"/>
      <c r="C53" s="98"/>
      <c r="D53" s="135"/>
      <c r="E53" s="99"/>
      <c r="F53" s="100"/>
      <c r="G53" s="101"/>
      <c r="H53" s="102"/>
      <c r="I53" s="17"/>
      <c r="J53" s="117"/>
      <c r="K53" s="17"/>
    </row>
    <row r="54" spans="1:11">
      <c r="A54" s="17"/>
      <c r="B54" s="17"/>
      <c r="C54" s="98"/>
      <c r="D54" s="135"/>
      <c r="E54" s="99"/>
      <c r="F54" s="100"/>
      <c r="G54" s="101"/>
      <c r="H54" s="102"/>
      <c r="I54" s="17"/>
      <c r="J54" s="117"/>
      <c r="K54" s="17"/>
    </row>
    <row r="55" spans="1:11">
      <c r="A55" s="17"/>
      <c r="B55" s="17"/>
      <c r="C55" s="98"/>
      <c r="D55" s="135"/>
      <c r="E55" s="99"/>
      <c r="F55" s="100"/>
      <c r="G55" s="101"/>
      <c r="H55" s="102"/>
      <c r="I55" s="17"/>
      <c r="J55" s="117"/>
      <c r="K55" s="17"/>
    </row>
    <row r="56" spans="1:11">
      <c r="A56" s="17"/>
      <c r="B56" s="17"/>
      <c r="C56" s="98"/>
      <c r="D56" s="135"/>
      <c r="E56" s="99"/>
      <c r="F56" s="100"/>
      <c r="G56" s="101"/>
      <c r="H56" s="102"/>
      <c r="I56" s="17"/>
      <c r="J56" s="117"/>
      <c r="K56" s="17"/>
    </row>
    <row r="57" spans="1:11">
      <c r="A57" s="17"/>
      <c r="B57" s="17"/>
      <c r="C57" s="98"/>
      <c r="D57" s="135"/>
      <c r="E57" s="99"/>
      <c r="F57" s="100"/>
      <c r="G57" s="101"/>
      <c r="H57" s="102"/>
      <c r="I57" s="17"/>
      <c r="J57" s="117"/>
      <c r="K57" s="17"/>
    </row>
    <row r="58" spans="1:11">
      <c r="A58" s="17"/>
      <c r="B58" s="17"/>
      <c r="C58" s="17"/>
      <c r="D58" s="130"/>
      <c r="E58" s="18"/>
      <c r="F58" s="132"/>
      <c r="G58" s="25"/>
      <c r="H58" s="117"/>
      <c r="I58" s="17"/>
      <c r="J58" s="117"/>
      <c r="K58" s="17"/>
    </row>
    <row r="59" spans="1:11">
      <c r="A59" s="17"/>
      <c r="B59" s="17"/>
      <c r="C59" s="17"/>
      <c r="D59" s="130"/>
      <c r="E59" s="18"/>
      <c r="F59" s="132"/>
      <c r="G59" s="25"/>
      <c r="H59" s="117"/>
      <c r="I59" s="17"/>
      <c r="J59" s="117"/>
      <c r="K59" s="17"/>
    </row>
    <row r="60" spans="1:11">
      <c r="A60" s="17"/>
      <c r="B60" s="17"/>
      <c r="C60" s="17"/>
      <c r="D60" s="130"/>
      <c r="E60" s="18"/>
      <c r="F60" s="132"/>
      <c r="G60" s="25"/>
      <c r="H60" s="117"/>
      <c r="I60" s="17"/>
      <c r="J60" s="117"/>
      <c r="K60" s="17"/>
    </row>
    <row r="61" spans="1:11">
      <c r="A61" s="17"/>
      <c r="B61" s="17"/>
      <c r="C61" s="17"/>
      <c r="D61" s="130"/>
      <c r="E61" s="18"/>
      <c r="F61" s="132"/>
      <c r="G61" s="25"/>
      <c r="H61" s="117"/>
      <c r="I61" s="17"/>
      <c r="J61" s="117"/>
      <c r="K61" s="17"/>
    </row>
    <row r="62" spans="1:11">
      <c r="A62" s="17"/>
      <c r="B62" s="17"/>
      <c r="C62" s="17"/>
      <c r="D62" s="130"/>
      <c r="E62" s="18"/>
      <c r="F62" s="132"/>
      <c r="G62" s="25"/>
      <c r="H62" s="117"/>
      <c r="I62" s="17"/>
      <c r="J62" s="117"/>
      <c r="K62" s="17"/>
    </row>
    <row r="63" spans="1:11">
      <c r="A63" s="17"/>
      <c r="B63" s="17"/>
      <c r="C63" s="17"/>
      <c r="D63" s="130"/>
      <c r="E63" s="18"/>
      <c r="F63" s="132"/>
      <c r="G63" s="25"/>
      <c r="H63" s="117"/>
      <c r="I63" s="17"/>
      <c r="J63" s="117"/>
      <c r="K63" s="17"/>
    </row>
    <row r="64" spans="1:11">
      <c r="A64" s="17"/>
      <c r="B64" s="17"/>
      <c r="C64" s="17"/>
      <c r="D64" s="17"/>
      <c r="E64" s="18"/>
      <c r="F64" s="132"/>
      <c r="G64" s="25"/>
      <c r="H64" s="17"/>
      <c r="I64" s="17"/>
      <c r="J64" s="117"/>
      <c r="K64" s="17"/>
    </row>
    <row r="65" spans="1:11">
      <c r="A65" s="17"/>
      <c r="B65" s="17"/>
      <c r="C65" s="17"/>
      <c r="D65" s="17"/>
      <c r="E65" s="18"/>
      <c r="F65" s="132"/>
      <c r="G65" s="25"/>
      <c r="H65" s="17"/>
      <c r="I65" s="17"/>
      <c r="J65" s="117"/>
      <c r="K65" s="17"/>
    </row>
    <row r="66" spans="1:11">
      <c r="A66" s="108"/>
      <c r="B66" s="212" t="s">
        <v>98</v>
      </c>
      <c r="C66" s="213"/>
      <c r="D66" s="108"/>
      <c r="E66" s="118"/>
      <c r="F66" s="119">
        <f>SUM(F7:F65)</f>
        <v>24016000</v>
      </c>
      <c r="G66" s="120">
        <f>SUM(G7:G65)</f>
        <v>5820</v>
      </c>
      <c r="H66" s="108"/>
      <c r="I66" s="108"/>
      <c r="J66" s="121"/>
      <c r="K66" s="108"/>
    </row>
    <row r="67" spans="1:11">
      <c r="J67" s="115"/>
    </row>
    <row r="68" spans="1:11">
      <c r="J68" s="115"/>
    </row>
    <row r="69" spans="1:11">
      <c r="J69" s="115"/>
    </row>
    <row r="70" spans="1:11">
      <c r="J70" s="115"/>
    </row>
    <row r="71" spans="1:11">
      <c r="J71" s="115"/>
    </row>
    <row r="72" spans="1:11">
      <c r="J72" s="115"/>
    </row>
    <row r="73" spans="1:11">
      <c r="J73" s="115"/>
    </row>
    <row r="74" spans="1:11">
      <c r="J74" s="115"/>
    </row>
    <row r="75" spans="1:11">
      <c r="J75" s="115"/>
    </row>
    <row r="76" spans="1:11">
      <c r="J76" s="115"/>
    </row>
    <row r="77" spans="1:11">
      <c r="J77" s="115"/>
    </row>
    <row r="78" spans="1:11">
      <c r="J78" s="115"/>
    </row>
    <row r="79" spans="1:11">
      <c r="J79" s="115"/>
    </row>
    <row r="80" spans="1:11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  <row r="119" spans="10:10">
      <c r="J119" s="115"/>
    </row>
    <row r="120" spans="10:10">
      <c r="J120" s="115"/>
    </row>
    <row r="121" spans="10:10">
      <c r="J121" s="115"/>
    </row>
    <row r="122" spans="10:10">
      <c r="J122" s="115"/>
    </row>
    <row r="123" spans="10:10">
      <c r="J123" s="115"/>
    </row>
    <row r="124" spans="10:10">
      <c r="J124" s="115"/>
    </row>
    <row r="125" spans="10:10">
      <c r="J125" s="115"/>
    </row>
    <row r="126" spans="10:10">
      <c r="J126" s="115"/>
    </row>
    <row r="127" spans="10:10">
      <c r="J127" s="115"/>
    </row>
    <row r="128" spans="10:10">
      <c r="J128" s="115"/>
    </row>
    <row r="129" spans="10:10">
      <c r="J129" s="115"/>
    </row>
    <row r="130" spans="10:10">
      <c r="J130" s="115"/>
    </row>
    <row r="131" spans="10:10">
      <c r="J131" s="115"/>
    </row>
    <row r="132" spans="10:10">
      <c r="J132" s="115"/>
    </row>
    <row r="133" spans="10:10">
      <c r="J133" s="115"/>
    </row>
    <row r="134" spans="10:10">
      <c r="J134" s="115"/>
    </row>
  </sheetData>
  <mergeCells count="3">
    <mergeCell ref="A1:K1"/>
    <mergeCell ref="B2:C2"/>
    <mergeCell ref="B66:C66"/>
  </mergeCells>
  <hyperlinks>
    <hyperlink ref="K2" location="الاليات!A1" display="الاليات " xr:uid="{00000000-0004-0000-5000-000000000000}"/>
  </hyperlinks>
  <pageMargins left="0.7" right="0.7" top="0.75" bottom="0.75" header="0.3" footer="0.3"/>
  <pageSetup paperSize="9" scale="34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K118"/>
  <sheetViews>
    <sheetView rightToLeft="1" view="pageBreakPreview" zoomScaleNormal="100" zoomScaleSheetLayoutView="10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4.5546875" style="1" bestFit="1" customWidth="1"/>
    <col min="3" max="4" width="12.77734375" style="1" bestFit="1" customWidth="1"/>
    <col min="5" max="5" width="63.5546875" style="73" bestFit="1" customWidth="1"/>
    <col min="6" max="6" width="16.33203125" style="114" bestFit="1" customWidth="1"/>
    <col min="7" max="7" width="7.6640625" style="79" bestFit="1" customWidth="1"/>
    <col min="8" max="8" width="14.10937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77</v>
      </c>
      <c r="B2" s="202" t="s">
        <v>50</v>
      </c>
      <c r="C2" s="203"/>
      <c r="D2" s="138"/>
      <c r="E2" s="86" t="s">
        <v>8</v>
      </c>
      <c r="F2" s="87">
        <v>2009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931</v>
      </c>
      <c r="D3" s="35"/>
      <c r="E3" s="86" t="s">
        <v>68</v>
      </c>
      <c r="F3" s="140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75</v>
      </c>
      <c r="C7" s="17">
        <v>4266</v>
      </c>
      <c r="D7" s="130">
        <v>45047</v>
      </c>
      <c r="E7" s="18" t="s">
        <v>201</v>
      </c>
      <c r="F7" s="132"/>
      <c r="G7" s="25">
        <v>820</v>
      </c>
      <c r="H7" s="117" t="s">
        <v>75</v>
      </c>
      <c r="I7" s="17"/>
      <c r="J7" s="117"/>
      <c r="K7" s="17"/>
    </row>
    <row r="8" spans="1:11" ht="34.799999999999997">
      <c r="A8" s="17">
        <v>2</v>
      </c>
      <c r="B8" s="17" t="s">
        <v>117</v>
      </c>
      <c r="C8" s="17"/>
      <c r="D8" s="130">
        <v>44936</v>
      </c>
      <c r="E8" s="18" t="s">
        <v>207</v>
      </c>
      <c r="F8" s="132">
        <v>170000</v>
      </c>
      <c r="G8" s="25"/>
      <c r="H8" s="117" t="s">
        <v>118</v>
      </c>
      <c r="I8" s="17"/>
      <c r="J8" s="117"/>
      <c r="K8" s="17"/>
    </row>
    <row r="9" spans="1:11">
      <c r="A9" s="17">
        <v>3</v>
      </c>
      <c r="B9" s="17"/>
      <c r="C9" s="17" t="s">
        <v>261</v>
      </c>
      <c r="D9" s="130" t="s">
        <v>270</v>
      </c>
      <c r="E9" s="18" t="s">
        <v>135</v>
      </c>
      <c r="F9" s="132">
        <v>184000</v>
      </c>
      <c r="G9" s="25"/>
      <c r="H9" s="117"/>
      <c r="I9" s="17"/>
      <c r="J9" s="117"/>
      <c r="K9" s="17"/>
    </row>
    <row r="10" spans="1:11">
      <c r="A10" s="17">
        <v>4</v>
      </c>
      <c r="B10" s="17"/>
      <c r="C10" s="17">
        <v>4880</v>
      </c>
      <c r="D10" s="130">
        <v>45082</v>
      </c>
      <c r="E10" s="18" t="s">
        <v>259</v>
      </c>
      <c r="F10" s="132">
        <v>840000</v>
      </c>
      <c r="G10" s="25"/>
      <c r="H10" s="117" t="s">
        <v>75</v>
      </c>
      <c r="I10" s="17"/>
      <c r="J10" s="117"/>
      <c r="K10" s="17"/>
    </row>
    <row r="11" spans="1:11">
      <c r="A11" s="17">
        <v>5</v>
      </c>
      <c r="B11" s="17"/>
      <c r="C11" s="18" t="s">
        <v>330</v>
      </c>
      <c r="D11" s="133" t="s">
        <v>329</v>
      </c>
      <c r="E11" s="18" t="s">
        <v>135</v>
      </c>
      <c r="F11" s="132">
        <v>70000</v>
      </c>
      <c r="G11" s="25"/>
      <c r="H11" s="117"/>
      <c r="I11" s="17"/>
      <c r="J11" s="117"/>
      <c r="K11" s="17"/>
    </row>
    <row r="12" spans="1:11">
      <c r="A12" s="17">
        <v>6</v>
      </c>
      <c r="B12" s="17"/>
      <c r="C12" s="17" t="s">
        <v>344</v>
      </c>
      <c r="D12" s="130" t="s">
        <v>345</v>
      </c>
      <c r="E12" s="18" t="s">
        <v>135</v>
      </c>
      <c r="F12" s="132">
        <v>150000</v>
      </c>
      <c r="G12" s="25"/>
      <c r="H12" s="117"/>
      <c r="I12" s="17"/>
      <c r="J12" s="117"/>
      <c r="K12" s="17"/>
    </row>
    <row r="13" spans="1:11">
      <c r="A13" s="17">
        <v>7</v>
      </c>
      <c r="B13" s="17"/>
      <c r="C13" s="17" t="s">
        <v>353</v>
      </c>
      <c r="D13" s="130">
        <v>45270</v>
      </c>
      <c r="E13" s="18" t="s">
        <v>386</v>
      </c>
      <c r="F13" s="132">
        <v>70000</v>
      </c>
      <c r="G13" s="25"/>
      <c r="H13" s="117"/>
      <c r="I13" s="17"/>
      <c r="J13" s="117"/>
      <c r="K13" s="17"/>
    </row>
    <row r="14" spans="1:11">
      <c r="A14" s="17">
        <v>8</v>
      </c>
      <c r="B14" s="17"/>
      <c r="C14" s="17" t="s">
        <v>385</v>
      </c>
      <c r="D14" s="130">
        <v>45028</v>
      </c>
      <c r="E14" s="18" t="s">
        <v>387</v>
      </c>
      <c r="F14" s="132">
        <v>110000</v>
      </c>
      <c r="G14" s="25"/>
      <c r="H14" s="117"/>
      <c r="I14" s="17"/>
      <c r="J14" s="117"/>
      <c r="K14" s="17"/>
    </row>
    <row r="15" spans="1:11">
      <c r="A15" s="17">
        <v>9</v>
      </c>
      <c r="B15" s="17"/>
      <c r="C15" s="17">
        <v>6748</v>
      </c>
      <c r="D15" s="130">
        <v>45483</v>
      </c>
      <c r="E15" s="18" t="s">
        <v>573</v>
      </c>
      <c r="F15" s="132">
        <v>450000</v>
      </c>
      <c r="G15" s="116"/>
      <c r="H15" s="17" t="s">
        <v>278</v>
      </c>
      <c r="I15" s="17"/>
      <c r="J15" s="117"/>
      <c r="K15" s="17"/>
    </row>
    <row r="16" spans="1:11">
      <c r="A16" s="17">
        <v>10</v>
      </c>
      <c r="B16" s="17"/>
      <c r="C16" s="17">
        <v>7348</v>
      </c>
      <c r="D16" s="130">
        <v>45619</v>
      </c>
      <c r="E16" s="131" t="s">
        <v>618</v>
      </c>
      <c r="F16" s="132">
        <v>410000</v>
      </c>
      <c r="G16" s="116"/>
      <c r="H16" s="17" t="s">
        <v>75</v>
      </c>
      <c r="I16" s="17"/>
      <c r="J16" s="117"/>
      <c r="K16" s="17"/>
    </row>
    <row r="17" spans="1:11" ht="34.799999999999997">
      <c r="A17" s="17">
        <v>11</v>
      </c>
      <c r="B17" s="17"/>
      <c r="C17" s="17">
        <v>7580</v>
      </c>
      <c r="D17" s="130">
        <v>45649</v>
      </c>
      <c r="E17" s="18" t="s">
        <v>642</v>
      </c>
      <c r="F17" s="132">
        <v>1495000</v>
      </c>
      <c r="G17" s="25"/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17">
        <v>7587</v>
      </c>
      <c r="D18" s="130">
        <v>45650</v>
      </c>
      <c r="E18" s="18" t="s">
        <v>652</v>
      </c>
      <c r="F18" s="132">
        <v>175000</v>
      </c>
      <c r="G18" s="25"/>
      <c r="H18" s="17" t="s">
        <v>75</v>
      </c>
      <c r="I18" s="17"/>
      <c r="J18" s="117"/>
      <c r="K18" s="17"/>
    </row>
    <row r="19" spans="1:11">
      <c r="A19" s="17">
        <v>13</v>
      </c>
      <c r="B19" s="17"/>
      <c r="C19" s="17">
        <v>7621</v>
      </c>
      <c r="D19" s="130">
        <v>45655</v>
      </c>
      <c r="E19" s="18" t="s">
        <v>259</v>
      </c>
      <c r="F19" s="132"/>
      <c r="G19" s="25">
        <v>800</v>
      </c>
      <c r="H19" s="17" t="s">
        <v>75</v>
      </c>
      <c r="I19" s="17"/>
      <c r="J19" s="117"/>
      <c r="K19" s="17"/>
    </row>
    <row r="20" spans="1:11">
      <c r="A20" s="17">
        <v>14</v>
      </c>
      <c r="B20" s="17"/>
      <c r="C20" s="98">
        <v>7717</v>
      </c>
      <c r="D20" s="135">
        <v>45676</v>
      </c>
      <c r="E20" s="99" t="s">
        <v>684</v>
      </c>
      <c r="F20" s="100">
        <v>790000</v>
      </c>
      <c r="G20" s="127"/>
      <c r="H20" s="98" t="s">
        <v>75</v>
      </c>
      <c r="I20" s="17"/>
      <c r="J20" s="117"/>
      <c r="K20" s="17"/>
    </row>
    <row r="21" spans="1:11">
      <c r="A21" s="17">
        <v>15</v>
      </c>
      <c r="B21" s="17"/>
      <c r="C21" s="98">
        <v>7829</v>
      </c>
      <c r="D21" s="135">
        <v>45696</v>
      </c>
      <c r="E21" s="99" t="s">
        <v>705</v>
      </c>
      <c r="F21" s="100">
        <v>315000</v>
      </c>
      <c r="G21" s="101"/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17">
        <v>8152</v>
      </c>
      <c r="D22" s="130">
        <v>45760</v>
      </c>
      <c r="E22" s="18" t="s">
        <v>755</v>
      </c>
      <c r="F22" s="132">
        <v>3020000</v>
      </c>
      <c r="G22" s="25"/>
      <c r="H22" s="117" t="s">
        <v>75</v>
      </c>
      <c r="I22" s="17"/>
      <c r="J22" s="117"/>
      <c r="K22" s="17"/>
    </row>
    <row r="23" spans="1:11">
      <c r="A23" s="17">
        <v>17</v>
      </c>
      <c r="B23" s="17"/>
      <c r="C23" s="17">
        <v>8152</v>
      </c>
      <c r="D23" s="130">
        <v>45760</v>
      </c>
      <c r="E23" s="18" t="s">
        <v>758</v>
      </c>
      <c r="F23" s="132">
        <v>150000</v>
      </c>
      <c r="G23" s="25"/>
      <c r="H23" s="117" t="s">
        <v>75</v>
      </c>
      <c r="I23" s="17"/>
      <c r="J23" s="117"/>
      <c r="K23" s="17"/>
    </row>
    <row r="24" spans="1:11">
      <c r="A24" s="17">
        <v>18</v>
      </c>
      <c r="B24" s="17"/>
      <c r="C24" s="99">
        <v>8806</v>
      </c>
      <c r="D24" s="136">
        <v>45791</v>
      </c>
      <c r="E24" s="99" t="s">
        <v>778</v>
      </c>
      <c r="F24" s="137">
        <v>55000</v>
      </c>
      <c r="G24" s="127"/>
      <c r="H24" s="98" t="s">
        <v>75</v>
      </c>
      <c r="I24" s="17"/>
      <c r="J24" s="117"/>
      <c r="K24" s="17"/>
    </row>
    <row r="25" spans="1:11">
      <c r="A25" s="17">
        <v>19</v>
      </c>
      <c r="B25" s="17"/>
      <c r="C25" s="17">
        <v>8850</v>
      </c>
      <c r="D25" s="130">
        <v>45798</v>
      </c>
      <c r="E25" s="18" t="s">
        <v>786</v>
      </c>
      <c r="F25" s="132">
        <v>250000</v>
      </c>
      <c r="G25" s="25"/>
      <c r="H25" s="98" t="s">
        <v>75</v>
      </c>
      <c r="I25" s="17"/>
      <c r="J25" s="117"/>
      <c r="K25" s="17"/>
    </row>
    <row r="26" spans="1:11">
      <c r="A26" s="17">
        <v>20</v>
      </c>
      <c r="B26" s="17"/>
      <c r="C26" s="17">
        <v>9087</v>
      </c>
      <c r="D26" s="130">
        <v>45836</v>
      </c>
      <c r="E26" s="18" t="s">
        <v>806</v>
      </c>
      <c r="F26" s="132">
        <v>1520000</v>
      </c>
      <c r="G26" s="25"/>
      <c r="H26" s="17" t="s">
        <v>75</v>
      </c>
      <c r="I26" s="17"/>
      <c r="J26" s="117"/>
      <c r="K26" s="17"/>
    </row>
    <row r="27" spans="1:11">
      <c r="A27" s="17">
        <v>21</v>
      </c>
      <c r="B27" s="17"/>
      <c r="C27" s="18">
        <v>9539</v>
      </c>
      <c r="D27" s="133">
        <v>45890</v>
      </c>
      <c r="E27" s="18" t="s">
        <v>546</v>
      </c>
      <c r="F27" s="134">
        <v>590000</v>
      </c>
      <c r="G27" s="116"/>
      <c r="H27" s="17" t="s">
        <v>75</v>
      </c>
      <c r="I27" s="17"/>
      <c r="J27" s="117"/>
      <c r="K27" s="17"/>
    </row>
    <row r="28" spans="1:11">
      <c r="A28" s="17">
        <v>22</v>
      </c>
      <c r="B28" s="17"/>
      <c r="C28" s="17">
        <v>9920</v>
      </c>
      <c r="D28" s="130">
        <v>45931</v>
      </c>
      <c r="E28" s="18" t="s">
        <v>1052</v>
      </c>
      <c r="F28" s="132">
        <v>295000</v>
      </c>
      <c r="G28" s="25"/>
      <c r="H28" s="17" t="s">
        <v>75</v>
      </c>
      <c r="I28" s="17"/>
      <c r="J28" s="117"/>
      <c r="K28" s="17"/>
    </row>
    <row r="29" spans="1:11" ht="34.799999999999997">
      <c r="A29" s="17">
        <v>23</v>
      </c>
      <c r="B29" s="17"/>
      <c r="C29" s="17">
        <v>303</v>
      </c>
      <c r="D29" s="130">
        <v>45977</v>
      </c>
      <c r="E29" s="18" t="s">
        <v>1088</v>
      </c>
      <c r="F29" s="132">
        <v>451000</v>
      </c>
      <c r="G29" s="25"/>
      <c r="H29" s="117" t="s">
        <v>75</v>
      </c>
      <c r="I29" s="17"/>
      <c r="J29" s="117"/>
      <c r="K29" s="17"/>
    </row>
    <row r="30" spans="1:11">
      <c r="A30" s="17">
        <v>24</v>
      </c>
      <c r="B30" s="17"/>
      <c r="C30" s="17">
        <v>615</v>
      </c>
      <c r="D30" s="130">
        <v>46018</v>
      </c>
      <c r="E30" s="18" t="s">
        <v>259</v>
      </c>
      <c r="F30" s="132">
        <v>20000</v>
      </c>
      <c r="G30" s="25">
        <v>1300</v>
      </c>
      <c r="H30" s="117" t="s">
        <v>75</v>
      </c>
      <c r="I30" s="17"/>
      <c r="J30" s="117"/>
      <c r="K30" s="17"/>
    </row>
    <row r="31" spans="1:11">
      <c r="A31" s="17">
        <v>25</v>
      </c>
      <c r="B31" s="17"/>
      <c r="C31" s="98">
        <v>668</v>
      </c>
      <c r="D31" s="135">
        <v>46082</v>
      </c>
      <c r="E31" s="99" t="s">
        <v>1158</v>
      </c>
      <c r="F31" s="100">
        <v>225000</v>
      </c>
      <c r="G31" s="101"/>
      <c r="H31" s="98" t="s">
        <v>75</v>
      </c>
      <c r="I31" s="17"/>
      <c r="J31" s="117"/>
      <c r="K31" s="17"/>
    </row>
    <row r="32" spans="1:11" ht="25.2" customHeight="1">
      <c r="A32" s="17">
        <v>26</v>
      </c>
      <c r="B32" s="17"/>
      <c r="C32" s="17">
        <v>960</v>
      </c>
      <c r="D32" s="130">
        <v>46358</v>
      </c>
      <c r="E32" s="18" t="s">
        <v>1203</v>
      </c>
      <c r="F32" s="132">
        <v>565000</v>
      </c>
      <c r="G32" s="25">
        <v>200</v>
      </c>
      <c r="H32" s="117" t="s">
        <v>75</v>
      </c>
      <c r="I32" s="17"/>
      <c r="J32" s="117"/>
      <c r="K32" s="17"/>
    </row>
    <row r="33" spans="1:11">
      <c r="A33" s="17">
        <v>27</v>
      </c>
      <c r="B33" s="17"/>
      <c r="C33" s="17">
        <v>1093</v>
      </c>
      <c r="D33" s="130">
        <v>46086</v>
      </c>
      <c r="E33" s="18" t="s">
        <v>618</v>
      </c>
      <c r="F33" s="132">
        <v>810000</v>
      </c>
      <c r="G33" s="25"/>
      <c r="H33" s="117" t="s">
        <v>75</v>
      </c>
      <c r="I33" s="17"/>
      <c r="J33" s="117"/>
      <c r="K33" s="17"/>
    </row>
    <row r="34" spans="1:11">
      <c r="A34" s="17">
        <v>28</v>
      </c>
      <c r="B34" s="17"/>
      <c r="C34" s="98">
        <v>1394</v>
      </c>
      <c r="D34" s="135">
        <v>46300</v>
      </c>
      <c r="E34" s="99" t="s">
        <v>1281</v>
      </c>
      <c r="F34" s="100">
        <v>1090000</v>
      </c>
      <c r="G34" s="127"/>
      <c r="H34" s="98" t="s">
        <v>75</v>
      </c>
      <c r="I34" s="17"/>
      <c r="J34" s="117"/>
      <c r="K34" s="17"/>
    </row>
    <row r="35" spans="1:11">
      <c r="A35" s="17">
        <v>29</v>
      </c>
      <c r="B35" s="17"/>
      <c r="C35" s="17"/>
      <c r="D35" s="130"/>
      <c r="E35" s="18"/>
      <c r="F35" s="132"/>
      <c r="G35" s="25"/>
      <c r="H35" s="117"/>
      <c r="I35" s="17"/>
      <c r="J35" s="117"/>
      <c r="K35" s="17"/>
    </row>
    <row r="36" spans="1:11">
      <c r="A36" s="17">
        <v>30</v>
      </c>
      <c r="B36" s="17"/>
      <c r="C36" s="17"/>
      <c r="D36" s="130"/>
      <c r="E36" s="18"/>
      <c r="F36" s="132"/>
      <c r="G36" s="25"/>
      <c r="H36" s="117"/>
      <c r="I36" s="17"/>
      <c r="J36" s="117"/>
      <c r="K36" s="17"/>
    </row>
    <row r="37" spans="1:11">
      <c r="A37" s="17">
        <v>31</v>
      </c>
      <c r="B37" s="17"/>
      <c r="C37" s="17"/>
      <c r="D37" s="130"/>
      <c r="E37" s="18"/>
      <c r="F37" s="132"/>
      <c r="G37" s="25"/>
      <c r="H37" s="117"/>
      <c r="I37" s="17"/>
      <c r="J37" s="117"/>
      <c r="K37" s="17"/>
    </row>
    <row r="38" spans="1:11">
      <c r="A38" s="17">
        <v>32</v>
      </c>
      <c r="B38" s="17"/>
      <c r="C38" s="17"/>
      <c r="D38" s="130"/>
      <c r="E38" s="18"/>
      <c r="F38" s="132"/>
      <c r="G38" s="25"/>
      <c r="H38" s="117"/>
      <c r="I38" s="17"/>
      <c r="J38" s="117"/>
      <c r="K38" s="17"/>
    </row>
    <row r="39" spans="1:11">
      <c r="A39" s="17">
        <v>33</v>
      </c>
      <c r="B39" s="17"/>
      <c r="C39" s="17"/>
      <c r="D39" s="130"/>
      <c r="E39" s="18"/>
      <c r="F39" s="132"/>
      <c r="G39" s="25"/>
      <c r="H39" s="117"/>
      <c r="I39" s="17"/>
      <c r="J39" s="117"/>
      <c r="K39" s="17"/>
    </row>
    <row r="40" spans="1:11">
      <c r="A40" s="17">
        <v>34</v>
      </c>
      <c r="B40" s="17"/>
      <c r="C40" s="17"/>
      <c r="D40" s="130"/>
      <c r="E40" s="18"/>
      <c r="F40" s="132"/>
      <c r="G40" s="25"/>
      <c r="H40" s="117"/>
      <c r="I40" s="17"/>
      <c r="J40" s="117"/>
      <c r="K40" s="17"/>
    </row>
    <row r="41" spans="1:11">
      <c r="A41" s="17">
        <v>35</v>
      </c>
      <c r="B41" s="17"/>
      <c r="C41" s="17"/>
      <c r="D41" s="130"/>
      <c r="E41" s="18"/>
      <c r="F41" s="132"/>
      <c r="G41" s="25"/>
      <c r="H41" s="117"/>
      <c r="I41" s="17"/>
      <c r="J41" s="117"/>
      <c r="K41" s="17"/>
    </row>
    <row r="42" spans="1:11">
      <c r="A42" s="17">
        <v>36</v>
      </c>
      <c r="B42" s="17"/>
      <c r="C42" s="17"/>
      <c r="D42" s="130"/>
      <c r="E42" s="18"/>
      <c r="F42" s="132"/>
      <c r="G42" s="25"/>
      <c r="H42" s="117"/>
      <c r="I42" s="17"/>
      <c r="J42" s="117"/>
      <c r="K42" s="17"/>
    </row>
    <row r="43" spans="1:11">
      <c r="A43" s="17">
        <v>37</v>
      </c>
      <c r="B43" s="17"/>
      <c r="C43" s="17"/>
      <c r="D43" s="130"/>
      <c r="E43" s="18"/>
      <c r="F43" s="132"/>
      <c r="G43" s="25"/>
      <c r="H43" s="117"/>
      <c r="I43" s="17"/>
      <c r="J43" s="117"/>
      <c r="K43" s="17"/>
    </row>
    <row r="44" spans="1:11">
      <c r="A44" s="17">
        <v>38</v>
      </c>
      <c r="B44" s="17"/>
      <c r="C44" s="17"/>
      <c r="D44" s="130"/>
      <c r="E44" s="18"/>
      <c r="F44" s="132"/>
      <c r="G44" s="25"/>
      <c r="H44" s="117"/>
      <c r="I44" s="17"/>
      <c r="J44" s="117"/>
      <c r="K44" s="17"/>
    </row>
    <row r="45" spans="1:11">
      <c r="A45" s="17">
        <v>39</v>
      </c>
      <c r="B45" s="17"/>
      <c r="C45" s="17"/>
      <c r="D45" s="130"/>
      <c r="E45" s="18"/>
      <c r="F45" s="132"/>
      <c r="G45" s="25"/>
      <c r="H45" s="117"/>
      <c r="I45" s="17"/>
      <c r="J45" s="117"/>
      <c r="K45" s="17"/>
    </row>
    <row r="46" spans="1:11">
      <c r="A46" s="17">
        <v>40</v>
      </c>
      <c r="B46" s="17"/>
      <c r="C46" s="17"/>
      <c r="D46" s="130"/>
      <c r="E46" s="18"/>
      <c r="F46" s="132"/>
      <c r="G46" s="25"/>
      <c r="H46" s="117"/>
      <c r="I46" s="17"/>
      <c r="J46" s="117"/>
      <c r="K46" s="17"/>
    </row>
    <row r="47" spans="1:11">
      <c r="A47" s="17">
        <v>41</v>
      </c>
      <c r="B47" s="17"/>
      <c r="C47" s="17"/>
      <c r="D47" s="130"/>
      <c r="E47" s="18"/>
      <c r="F47" s="132"/>
      <c r="G47" s="25"/>
      <c r="H47" s="117"/>
      <c r="I47" s="17"/>
      <c r="J47" s="117"/>
      <c r="K47" s="17"/>
    </row>
    <row r="48" spans="1:11">
      <c r="A48" s="17">
        <v>42</v>
      </c>
      <c r="B48" s="17"/>
      <c r="C48" s="17"/>
      <c r="D48" s="130"/>
      <c r="E48" s="18"/>
      <c r="F48" s="132"/>
      <c r="G48" s="25"/>
      <c r="H48" s="117"/>
      <c r="I48" s="17"/>
      <c r="J48" s="117"/>
      <c r="K48" s="17"/>
    </row>
    <row r="49" spans="1:11">
      <c r="A49" s="17">
        <v>43</v>
      </c>
      <c r="B49" s="17"/>
      <c r="C49" s="17"/>
      <c r="D49" s="130"/>
      <c r="E49" s="18"/>
      <c r="F49" s="132"/>
      <c r="G49" s="25"/>
      <c r="H49" s="117"/>
      <c r="I49" s="17"/>
      <c r="J49" s="117"/>
      <c r="K49" s="17"/>
    </row>
    <row r="50" spans="1:11">
      <c r="A50" s="17">
        <v>44</v>
      </c>
      <c r="B50" s="17"/>
      <c r="C50" s="17"/>
      <c r="D50" s="130"/>
      <c r="E50" s="18"/>
      <c r="F50" s="132"/>
      <c r="G50" s="25"/>
      <c r="H50" s="117"/>
      <c r="I50" s="17"/>
      <c r="J50" s="117"/>
      <c r="K50" s="17"/>
    </row>
    <row r="51" spans="1:11">
      <c r="A51" s="17">
        <v>45</v>
      </c>
      <c r="B51" s="17"/>
      <c r="C51" s="17"/>
      <c r="D51" s="130"/>
      <c r="E51" s="18"/>
      <c r="F51" s="132"/>
      <c r="G51" s="25"/>
      <c r="H51" s="117"/>
      <c r="I51" s="17"/>
      <c r="J51" s="117"/>
      <c r="K51" s="17"/>
    </row>
    <row r="52" spans="1:11">
      <c r="A52" s="17">
        <v>46</v>
      </c>
      <c r="B52" s="17"/>
      <c r="C52" s="17"/>
      <c r="D52" s="130"/>
      <c r="E52" s="18"/>
      <c r="F52" s="132"/>
      <c r="G52" s="25"/>
      <c r="H52" s="117"/>
      <c r="I52" s="17"/>
      <c r="J52" s="117"/>
      <c r="K52" s="17"/>
    </row>
    <row r="53" spans="1:11">
      <c r="A53" s="17">
        <v>47</v>
      </c>
      <c r="B53" s="17"/>
      <c r="C53" s="17"/>
      <c r="D53" s="130"/>
      <c r="E53" s="18"/>
      <c r="F53" s="132"/>
      <c r="G53" s="25"/>
      <c r="H53" s="117"/>
      <c r="I53" s="17"/>
      <c r="J53" s="117"/>
      <c r="K53" s="17"/>
    </row>
    <row r="54" spans="1:11">
      <c r="A54" s="17">
        <v>48</v>
      </c>
      <c r="B54" s="17"/>
      <c r="C54" s="17"/>
      <c r="D54" s="130"/>
      <c r="E54" s="18"/>
      <c r="F54" s="132"/>
      <c r="G54" s="25"/>
      <c r="H54" s="117"/>
      <c r="I54" s="17"/>
      <c r="J54" s="117"/>
      <c r="K54" s="17"/>
    </row>
    <row r="55" spans="1:11">
      <c r="A55" s="17">
        <v>49</v>
      </c>
      <c r="B55" s="17"/>
      <c r="C55" s="17"/>
      <c r="D55" s="130"/>
      <c r="E55" s="18"/>
      <c r="F55" s="132"/>
      <c r="G55" s="25"/>
      <c r="H55" s="117"/>
      <c r="I55" s="17"/>
      <c r="J55" s="117"/>
      <c r="K55" s="17"/>
    </row>
    <row r="56" spans="1:11">
      <c r="A56" s="17">
        <v>50</v>
      </c>
      <c r="B56" s="17"/>
      <c r="C56" s="17"/>
      <c r="D56" s="130"/>
      <c r="E56" s="18"/>
      <c r="F56" s="132"/>
      <c r="G56" s="25"/>
      <c r="H56" s="117"/>
      <c r="I56" s="17"/>
      <c r="J56" s="117"/>
      <c r="K56" s="17"/>
    </row>
    <row r="57" spans="1:11">
      <c r="A57" s="17">
        <v>51</v>
      </c>
      <c r="B57" s="17"/>
      <c r="C57" s="17"/>
      <c r="D57" s="130"/>
      <c r="E57" s="18"/>
      <c r="F57" s="132"/>
      <c r="G57" s="25"/>
      <c r="H57" s="117"/>
      <c r="I57" s="17"/>
      <c r="J57" s="117"/>
      <c r="K57" s="17"/>
    </row>
    <row r="58" spans="1:11">
      <c r="A58" s="17">
        <v>52</v>
      </c>
      <c r="B58" s="17"/>
      <c r="C58" s="17"/>
      <c r="D58" s="130"/>
      <c r="E58" s="18"/>
      <c r="F58" s="132"/>
      <c r="G58" s="25"/>
      <c r="H58" s="117"/>
      <c r="I58" s="17"/>
      <c r="J58" s="117"/>
      <c r="K58" s="17"/>
    </row>
    <row r="59" spans="1:11">
      <c r="A59" s="17">
        <v>53</v>
      </c>
      <c r="B59" s="17"/>
      <c r="C59" s="17"/>
      <c r="D59" s="130"/>
      <c r="E59" s="18"/>
      <c r="F59" s="132"/>
      <c r="G59" s="25"/>
      <c r="H59" s="117"/>
      <c r="I59" s="17"/>
      <c r="J59" s="117"/>
      <c r="K59" s="17"/>
    </row>
    <row r="60" spans="1:11">
      <c r="A60" s="17">
        <v>54</v>
      </c>
      <c r="B60" s="17"/>
      <c r="C60" s="17"/>
      <c r="D60" s="130"/>
      <c r="E60" s="18"/>
      <c r="F60" s="132"/>
      <c r="G60" s="25"/>
      <c r="H60" s="117"/>
      <c r="I60" s="17"/>
      <c r="J60" s="117"/>
      <c r="K60" s="17"/>
    </row>
    <row r="61" spans="1:11">
      <c r="A61" s="17">
        <v>55</v>
      </c>
      <c r="B61" s="17"/>
      <c r="C61" s="17"/>
      <c r="D61" s="130"/>
      <c r="E61" s="18"/>
      <c r="F61" s="132"/>
      <c r="G61" s="25"/>
      <c r="H61" s="117"/>
      <c r="I61" s="17"/>
      <c r="J61" s="117"/>
      <c r="K61" s="17"/>
    </row>
    <row r="62" spans="1:11">
      <c r="A62" s="17">
        <v>56</v>
      </c>
      <c r="B62" s="17"/>
      <c r="C62" s="17"/>
      <c r="D62" s="130"/>
      <c r="E62" s="18"/>
      <c r="F62" s="132"/>
      <c r="G62" s="25"/>
      <c r="H62" s="117"/>
      <c r="I62" s="17"/>
      <c r="J62" s="117"/>
      <c r="K62" s="17"/>
    </row>
    <row r="63" spans="1:11">
      <c r="A63" s="17">
        <v>57</v>
      </c>
      <c r="B63" s="17"/>
      <c r="C63" s="17"/>
      <c r="D63" s="130"/>
      <c r="E63" s="18"/>
      <c r="F63" s="132"/>
      <c r="G63" s="25"/>
      <c r="H63" s="117"/>
      <c r="I63" s="17"/>
      <c r="J63" s="117"/>
      <c r="K63" s="17"/>
    </row>
    <row r="64" spans="1:11">
      <c r="A64" s="17">
        <v>58</v>
      </c>
      <c r="B64" s="17"/>
      <c r="C64" s="17"/>
      <c r="D64" s="130"/>
      <c r="E64" s="18"/>
      <c r="F64" s="132"/>
      <c r="G64" s="25"/>
      <c r="H64" s="117"/>
      <c r="I64" s="17"/>
      <c r="J64" s="117"/>
      <c r="K64" s="17"/>
    </row>
    <row r="65" spans="1:11">
      <c r="A65" s="17">
        <v>59</v>
      </c>
      <c r="B65" s="17"/>
      <c r="C65" s="17"/>
      <c r="D65" s="130"/>
      <c r="E65" s="18"/>
      <c r="F65" s="132"/>
      <c r="G65" s="25"/>
      <c r="H65" s="117"/>
      <c r="I65" s="17"/>
      <c r="J65" s="117"/>
      <c r="K65" s="17"/>
    </row>
    <row r="66" spans="1:11">
      <c r="A66" s="17">
        <v>60</v>
      </c>
      <c r="B66" s="17"/>
      <c r="C66" s="17"/>
      <c r="D66" s="130"/>
      <c r="E66" s="18"/>
      <c r="F66" s="132"/>
      <c r="G66" s="25"/>
      <c r="H66" s="117"/>
      <c r="I66" s="17"/>
      <c r="J66" s="117"/>
      <c r="K66" s="17"/>
    </row>
    <row r="67" spans="1:11">
      <c r="A67" s="17">
        <v>61</v>
      </c>
      <c r="B67" s="17"/>
      <c r="C67" s="17"/>
      <c r="D67" s="130"/>
      <c r="E67" s="18"/>
      <c r="F67" s="132"/>
      <c r="G67" s="25"/>
      <c r="H67" s="117"/>
      <c r="I67" s="17"/>
      <c r="J67" s="117"/>
      <c r="K67" s="17"/>
    </row>
    <row r="68" spans="1:11">
      <c r="A68" s="17">
        <v>62</v>
      </c>
      <c r="B68" s="17"/>
      <c r="C68" s="17"/>
      <c r="D68" s="130"/>
      <c r="E68" s="18"/>
      <c r="F68" s="132"/>
      <c r="G68" s="25"/>
      <c r="H68" s="117"/>
      <c r="I68" s="17"/>
      <c r="J68" s="117"/>
      <c r="K68" s="17"/>
    </row>
    <row r="69" spans="1:11">
      <c r="A69" s="17">
        <v>63</v>
      </c>
      <c r="B69" s="17"/>
      <c r="C69" s="17"/>
      <c r="D69" s="130"/>
      <c r="E69" s="18"/>
      <c r="F69" s="132"/>
      <c r="G69" s="25"/>
      <c r="H69" s="117"/>
      <c r="I69" s="17"/>
      <c r="J69" s="117"/>
      <c r="K69" s="17"/>
    </row>
    <row r="70" spans="1:11">
      <c r="A70" s="17">
        <v>64</v>
      </c>
      <c r="B70" s="17"/>
      <c r="C70" s="17"/>
      <c r="D70" s="130"/>
      <c r="E70" s="18"/>
      <c r="F70" s="132"/>
      <c r="G70" s="25"/>
      <c r="H70" s="117"/>
      <c r="I70" s="17"/>
      <c r="J70" s="117"/>
      <c r="K70" s="17"/>
    </row>
    <row r="71" spans="1:11">
      <c r="A71" s="108"/>
      <c r="B71" s="204" t="s">
        <v>98</v>
      </c>
      <c r="C71" s="204"/>
      <c r="D71" s="108"/>
      <c r="E71" s="118"/>
      <c r="F71" s="119">
        <f>SUM(F7:F70)</f>
        <v>14270000</v>
      </c>
      <c r="G71" s="120">
        <f>SUM(G7:G70)</f>
        <v>3120</v>
      </c>
      <c r="H71" s="108"/>
      <c r="I71" s="108"/>
      <c r="J71" s="121"/>
      <c r="K71" s="108"/>
    </row>
    <row r="72" spans="1:11">
      <c r="J72" s="115"/>
    </row>
    <row r="73" spans="1:11">
      <c r="J73" s="115"/>
    </row>
    <row r="74" spans="1:11">
      <c r="J74" s="115"/>
    </row>
    <row r="75" spans="1:11">
      <c r="J75" s="115"/>
    </row>
    <row r="76" spans="1:11">
      <c r="J76" s="115"/>
    </row>
    <row r="77" spans="1:11">
      <c r="J77" s="115"/>
    </row>
    <row r="78" spans="1:11">
      <c r="J78" s="115"/>
    </row>
    <row r="79" spans="1:11">
      <c r="J79" s="115"/>
    </row>
    <row r="80" spans="1:11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71:C71"/>
  </mergeCells>
  <hyperlinks>
    <hyperlink ref="K2" location="الاليات!A1" display="الاليات " xr:uid="{00000000-0004-0000-5100-000000000000}"/>
  </hyperlinks>
  <pageMargins left="0.7" right="0.7" top="0.75" bottom="0.75" header="0.3" footer="0.3"/>
  <pageSetup paperSize="9" scale="3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4" width="12.77734375" style="1" bestFit="1" customWidth="1"/>
    <col min="5" max="5" width="18.10937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78</v>
      </c>
      <c r="B2" s="202" t="s">
        <v>930</v>
      </c>
      <c r="C2" s="203"/>
      <c r="D2" s="85"/>
      <c r="E2" s="86" t="s">
        <v>8</v>
      </c>
      <c r="F2" s="140">
        <v>2013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926</v>
      </c>
      <c r="D3" s="89"/>
      <c r="E3" s="86" t="s">
        <v>68</v>
      </c>
      <c r="F3" s="140" t="s">
        <v>468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8" t="s">
        <v>75</v>
      </c>
      <c r="C7" s="98">
        <v>4266</v>
      </c>
      <c r="D7" s="135">
        <v>45047</v>
      </c>
      <c r="E7" s="99" t="s">
        <v>135</v>
      </c>
      <c r="F7" s="100">
        <v>250000</v>
      </c>
      <c r="G7" s="101">
        <v>500</v>
      </c>
      <c r="H7" s="98" t="s">
        <v>75</v>
      </c>
      <c r="I7" s="98"/>
      <c r="J7" s="102"/>
      <c r="K7" s="17"/>
    </row>
    <row r="8" spans="1:11">
      <c r="A8" s="98">
        <v>2</v>
      </c>
      <c r="B8" s="98"/>
      <c r="C8" s="98">
        <v>6049</v>
      </c>
      <c r="D8" s="98" t="s">
        <v>401</v>
      </c>
      <c r="E8" s="99" t="s">
        <v>135</v>
      </c>
      <c r="F8" s="100">
        <v>683000</v>
      </c>
      <c r="G8" s="101"/>
      <c r="H8" s="98" t="s">
        <v>75</v>
      </c>
      <c r="I8" s="98"/>
      <c r="J8" s="102"/>
      <c r="K8" s="17"/>
    </row>
    <row r="9" spans="1:11">
      <c r="A9" s="98">
        <v>3</v>
      </c>
      <c r="B9" s="98"/>
      <c r="C9" s="98">
        <v>6145</v>
      </c>
      <c r="D9" s="135" t="s">
        <v>412</v>
      </c>
      <c r="E9" s="99" t="s">
        <v>331</v>
      </c>
      <c r="F9" s="100">
        <v>550000</v>
      </c>
      <c r="G9" s="101"/>
      <c r="H9" s="98" t="s">
        <v>75</v>
      </c>
      <c r="I9" s="98"/>
      <c r="J9" s="102"/>
      <c r="K9" s="17"/>
    </row>
    <row r="10" spans="1:11" ht="34.799999999999997">
      <c r="A10" s="98">
        <v>4</v>
      </c>
      <c r="B10" s="98"/>
      <c r="C10" s="98">
        <v>6263</v>
      </c>
      <c r="D10" s="135">
        <v>45325</v>
      </c>
      <c r="E10" s="99" t="s">
        <v>426</v>
      </c>
      <c r="F10" s="100">
        <v>80000</v>
      </c>
      <c r="G10" s="101"/>
      <c r="H10" s="98" t="s">
        <v>75</v>
      </c>
      <c r="I10" s="98"/>
      <c r="J10" s="102"/>
      <c r="K10" s="17"/>
    </row>
    <row r="11" spans="1:11" ht="34.799999999999997">
      <c r="A11" s="98">
        <v>5</v>
      </c>
      <c r="B11" s="98"/>
      <c r="C11" s="17">
        <v>7580</v>
      </c>
      <c r="D11" s="130">
        <v>45649</v>
      </c>
      <c r="E11" s="18" t="s">
        <v>639</v>
      </c>
      <c r="F11" s="132">
        <v>290000</v>
      </c>
      <c r="G11" s="25"/>
      <c r="H11" s="17" t="s">
        <v>75</v>
      </c>
      <c r="I11" s="98"/>
      <c r="J11" s="102"/>
      <c r="K11" s="17"/>
    </row>
    <row r="12" spans="1:11" ht="52.2">
      <c r="A12" s="98">
        <v>6</v>
      </c>
      <c r="B12" s="98"/>
      <c r="C12" s="98">
        <v>7658</v>
      </c>
      <c r="D12" s="135">
        <v>45662</v>
      </c>
      <c r="E12" s="99" t="s">
        <v>674</v>
      </c>
      <c r="F12" s="100">
        <v>745000</v>
      </c>
      <c r="G12" s="127"/>
      <c r="H12" s="98" t="s">
        <v>75</v>
      </c>
      <c r="I12" s="98"/>
      <c r="J12" s="102"/>
      <c r="K12" s="17"/>
    </row>
    <row r="13" spans="1:11">
      <c r="A13" s="98">
        <v>7</v>
      </c>
      <c r="B13" s="98"/>
      <c r="C13" s="17">
        <v>7992</v>
      </c>
      <c r="D13" s="130">
        <v>45722</v>
      </c>
      <c r="E13" s="18" t="s">
        <v>259</v>
      </c>
      <c r="F13" s="24">
        <v>1050000</v>
      </c>
      <c r="G13" s="116"/>
      <c r="H13" s="17" t="s">
        <v>75</v>
      </c>
      <c r="I13" s="98"/>
      <c r="J13" s="102"/>
      <c r="K13" s="17"/>
    </row>
    <row r="14" spans="1:11" ht="69.599999999999994">
      <c r="A14" s="98">
        <v>8</v>
      </c>
      <c r="B14" s="98"/>
      <c r="C14" s="99">
        <v>8806</v>
      </c>
      <c r="D14" s="136">
        <v>45791</v>
      </c>
      <c r="E14" s="99" t="s">
        <v>772</v>
      </c>
      <c r="F14" s="137">
        <v>110000</v>
      </c>
      <c r="G14" s="127"/>
      <c r="H14" s="98" t="s">
        <v>75</v>
      </c>
      <c r="I14" s="98"/>
      <c r="J14" s="102"/>
      <c r="K14" s="17"/>
    </row>
    <row r="15" spans="1:11" ht="69.599999999999994">
      <c r="A15" s="98">
        <v>9</v>
      </c>
      <c r="B15" s="98"/>
      <c r="C15" s="17">
        <v>9087</v>
      </c>
      <c r="D15" s="130">
        <v>45836</v>
      </c>
      <c r="E15" s="18" t="s">
        <v>803</v>
      </c>
      <c r="F15" s="24">
        <v>635000</v>
      </c>
      <c r="G15" s="116"/>
      <c r="H15" s="17" t="s">
        <v>75</v>
      </c>
      <c r="I15" s="98"/>
      <c r="J15" s="102"/>
      <c r="K15" s="17"/>
    </row>
    <row r="16" spans="1:11">
      <c r="A16" s="98">
        <v>10</v>
      </c>
      <c r="B16" s="98"/>
      <c r="C16" s="17">
        <v>9920</v>
      </c>
      <c r="D16" s="130">
        <v>45931</v>
      </c>
      <c r="E16" s="18" t="s">
        <v>167</v>
      </c>
      <c r="F16" s="132">
        <v>255000</v>
      </c>
      <c r="G16" s="25"/>
      <c r="H16" s="17" t="s">
        <v>75</v>
      </c>
      <c r="I16" s="98"/>
      <c r="J16" s="102"/>
      <c r="K16" s="17"/>
    </row>
    <row r="17" spans="1:11">
      <c r="A17" s="98">
        <v>11</v>
      </c>
      <c r="B17" s="98"/>
      <c r="C17" s="98">
        <v>794</v>
      </c>
      <c r="D17" s="98" t="s">
        <v>1178</v>
      </c>
      <c r="E17" s="99" t="s">
        <v>618</v>
      </c>
      <c r="F17" s="100">
        <v>1000000</v>
      </c>
      <c r="G17" s="101"/>
      <c r="H17" s="98" t="s">
        <v>75</v>
      </c>
      <c r="I17" s="98"/>
      <c r="J17" s="102"/>
      <c r="K17" s="17"/>
    </row>
    <row r="18" spans="1:11">
      <c r="A18" s="98">
        <v>12</v>
      </c>
      <c r="B18" s="98"/>
      <c r="C18" s="98">
        <v>1093</v>
      </c>
      <c r="D18" s="135">
        <v>46086</v>
      </c>
      <c r="E18" s="99" t="s">
        <v>1232</v>
      </c>
      <c r="F18" s="100">
        <v>240000</v>
      </c>
      <c r="G18" s="101"/>
      <c r="H18" s="98" t="s">
        <v>75</v>
      </c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00"/>
      <c r="G19" s="101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00"/>
      <c r="G20" s="101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103"/>
      <c r="B32" s="206" t="s">
        <v>98</v>
      </c>
      <c r="C32" s="206"/>
      <c r="D32" s="103"/>
      <c r="E32" s="104"/>
      <c r="F32" s="105">
        <f>SUM(F7:F31)</f>
        <v>5888000</v>
      </c>
      <c r="G32" s="106">
        <f>SUM(G7:G31)</f>
        <v>500</v>
      </c>
      <c r="H32" s="103"/>
      <c r="I32" s="103"/>
      <c r="J32" s="107"/>
      <c r="K32" s="108"/>
    </row>
    <row r="33" spans="1:10">
      <c r="A33" s="109"/>
      <c r="B33" s="109"/>
      <c r="C33" s="109"/>
      <c r="D33" s="109"/>
      <c r="E33" s="110"/>
      <c r="F33" s="111"/>
      <c r="G33" s="112"/>
      <c r="H33" s="109"/>
      <c r="I33" s="109"/>
      <c r="J33" s="113"/>
    </row>
    <row r="34" spans="1:10">
      <c r="A34" s="109"/>
      <c r="B34" s="109"/>
      <c r="C34" s="109"/>
      <c r="D34" s="109"/>
      <c r="E34" s="110"/>
      <c r="F34" s="111"/>
      <c r="G34" s="112"/>
      <c r="H34" s="109"/>
      <c r="I34" s="109"/>
      <c r="J34" s="113"/>
    </row>
    <row r="35" spans="1:10">
      <c r="A35" s="109"/>
      <c r="B35" s="109"/>
      <c r="C35" s="109"/>
      <c r="D35" s="109"/>
      <c r="E35" s="110"/>
      <c r="F35" s="111"/>
      <c r="G35" s="112"/>
      <c r="H35" s="109"/>
      <c r="I35" s="109"/>
      <c r="J35" s="113"/>
    </row>
    <row r="36" spans="1:10">
      <c r="A36" s="109"/>
      <c r="B36" s="109"/>
      <c r="C36" s="109"/>
      <c r="D36" s="109"/>
      <c r="E36" s="110"/>
      <c r="F36" s="111"/>
      <c r="G36" s="112"/>
      <c r="H36" s="109"/>
      <c r="I36" s="109"/>
      <c r="J36" s="113"/>
    </row>
    <row r="37" spans="1:10">
      <c r="A37" s="109"/>
      <c r="B37" s="109"/>
      <c r="C37" s="109"/>
      <c r="D37" s="109"/>
      <c r="E37" s="110"/>
      <c r="F37" s="111"/>
      <c r="G37" s="112"/>
      <c r="H37" s="109"/>
      <c r="I37" s="109"/>
      <c r="J37" s="113"/>
    </row>
    <row r="38" spans="1:10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0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0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0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0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0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0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0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0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0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0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11"/>
      <c r="G73" s="112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11"/>
      <c r="G74" s="112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11"/>
      <c r="G75" s="112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11"/>
      <c r="G76" s="112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11"/>
      <c r="G77" s="112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11"/>
      <c r="G78" s="112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11"/>
      <c r="G79" s="112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11"/>
      <c r="G80" s="112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11"/>
      <c r="G81" s="112"/>
      <c r="H81" s="109"/>
      <c r="I81" s="109"/>
      <c r="J81" s="113"/>
    </row>
    <row r="82" spans="1:10">
      <c r="J82" s="115"/>
    </row>
    <row r="83" spans="1:10">
      <c r="J83" s="115"/>
    </row>
    <row r="84" spans="1:10">
      <c r="J84" s="115"/>
    </row>
    <row r="85" spans="1:10">
      <c r="J85" s="115"/>
    </row>
    <row r="86" spans="1:10">
      <c r="J86" s="115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2:C32"/>
  </mergeCells>
  <hyperlinks>
    <hyperlink ref="K2" location="الاليات!A1" display="الاليات " xr:uid="{00000000-0004-0000-5200-000000000000}"/>
  </hyperlinks>
  <pageMargins left="0.7" right="0.7" top="0.75" bottom="0.75" header="0.3" footer="0.3"/>
  <pageSetup paperSize="9" scale="62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K118"/>
  <sheetViews>
    <sheetView rightToLeft="1" view="pageBreakPreview" zoomScale="120" zoomScaleNormal="100" zoomScaleSheetLayoutView="12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5.88671875" style="1" bestFit="1" customWidth="1"/>
    <col min="4" max="4" width="12.77734375" style="1" bestFit="1" customWidth="1"/>
    <col min="5" max="5" width="18.44140625" style="73" customWidth="1"/>
    <col min="6" max="6" width="16.3320312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79</v>
      </c>
      <c r="B2" s="202" t="s">
        <v>58</v>
      </c>
      <c r="C2" s="203"/>
      <c r="D2" s="85"/>
      <c r="E2" s="86" t="s">
        <v>8</v>
      </c>
      <c r="F2" s="87">
        <v>2011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927</v>
      </c>
      <c r="D3" s="89"/>
      <c r="E3" s="86" t="s">
        <v>68</v>
      </c>
      <c r="F3" s="87" t="s">
        <v>154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9"/>
      <c r="C7" s="99" t="s">
        <v>262</v>
      </c>
      <c r="D7" s="136">
        <v>45263</v>
      </c>
      <c r="E7" s="99" t="s">
        <v>135</v>
      </c>
      <c r="F7" s="137">
        <v>1385000</v>
      </c>
      <c r="G7" s="101"/>
      <c r="H7" s="98"/>
      <c r="I7" s="98"/>
      <c r="J7" s="102"/>
      <c r="K7" s="17"/>
    </row>
    <row r="8" spans="1:11">
      <c r="A8" s="98">
        <v>2</v>
      </c>
      <c r="B8" s="99"/>
      <c r="C8" s="99">
        <v>4880</v>
      </c>
      <c r="D8" s="136">
        <v>45082</v>
      </c>
      <c r="E8" s="99" t="s">
        <v>259</v>
      </c>
      <c r="F8" s="137">
        <v>660000</v>
      </c>
      <c r="G8" s="101"/>
      <c r="H8" s="98"/>
      <c r="I8" s="98"/>
      <c r="J8" s="102"/>
      <c r="K8" s="17"/>
    </row>
    <row r="9" spans="1:11">
      <c r="A9" s="98">
        <v>3</v>
      </c>
      <c r="B9" s="99"/>
      <c r="C9" s="98">
        <v>4880</v>
      </c>
      <c r="D9" s="135">
        <v>45082</v>
      </c>
      <c r="E9" s="99" t="s">
        <v>135</v>
      </c>
      <c r="F9" s="100">
        <v>110000</v>
      </c>
      <c r="G9" s="101"/>
      <c r="H9" s="102" t="s">
        <v>75</v>
      </c>
      <c r="I9" s="98"/>
      <c r="J9" s="102"/>
      <c r="K9" s="17"/>
    </row>
    <row r="10" spans="1:11">
      <c r="A10" s="98">
        <v>4</v>
      </c>
      <c r="B10" s="99"/>
      <c r="C10" s="98">
        <v>4880</v>
      </c>
      <c r="D10" s="135">
        <v>45082</v>
      </c>
      <c r="E10" s="99" t="s">
        <v>298</v>
      </c>
      <c r="F10" s="100">
        <v>290000</v>
      </c>
      <c r="G10" s="101"/>
      <c r="H10" s="102" t="s">
        <v>75</v>
      </c>
      <c r="I10" s="98"/>
      <c r="J10" s="102"/>
      <c r="K10" s="17"/>
    </row>
    <row r="11" spans="1:11" s="17" customFormat="1">
      <c r="A11" s="98">
        <v>5</v>
      </c>
      <c r="B11" s="99"/>
      <c r="C11" s="98">
        <v>4880</v>
      </c>
      <c r="D11" s="135">
        <v>45082</v>
      </c>
      <c r="E11" s="99" t="s">
        <v>135</v>
      </c>
      <c r="F11" s="100">
        <v>910000</v>
      </c>
      <c r="G11" s="101"/>
      <c r="H11" s="102" t="s">
        <v>75</v>
      </c>
      <c r="I11" s="98"/>
      <c r="J11" s="102"/>
    </row>
    <row r="12" spans="1:11">
      <c r="A12" s="98">
        <v>6</v>
      </c>
      <c r="B12" s="99"/>
      <c r="C12" s="99">
        <v>6488</v>
      </c>
      <c r="D12" s="136">
        <v>45601</v>
      </c>
      <c r="E12" s="99" t="s">
        <v>523</v>
      </c>
      <c r="F12" s="137">
        <v>1465000</v>
      </c>
      <c r="G12" s="101"/>
      <c r="H12" s="98" t="s">
        <v>75</v>
      </c>
      <c r="I12" s="98"/>
      <c r="J12" s="102"/>
      <c r="K12" s="17"/>
    </row>
    <row r="13" spans="1:11">
      <c r="A13" s="98">
        <v>7</v>
      </c>
      <c r="B13" s="99"/>
      <c r="C13" s="17">
        <v>7272</v>
      </c>
      <c r="D13" s="130">
        <v>45599</v>
      </c>
      <c r="E13" s="131" t="s">
        <v>259</v>
      </c>
      <c r="F13" s="132">
        <v>1875000</v>
      </c>
      <c r="G13" s="116"/>
      <c r="H13" s="17" t="s">
        <v>75</v>
      </c>
      <c r="I13" s="98"/>
      <c r="J13" s="102"/>
      <c r="K13" s="17"/>
    </row>
    <row r="14" spans="1:11">
      <c r="A14" s="98">
        <v>8</v>
      </c>
      <c r="B14" s="99"/>
      <c r="C14" s="17">
        <v>7430</v>
      </c>
      <c r="D14" s="130">
        <v>45631</v>
      </c>
      <c r="E14" s="18" t="s">
        <v>634</v>
      </c>
      <c r="F14" s="24">
        <v>235000</v>
      </c>
      <c r="G14" s="116"/>
      <c r="H14" s="17" t="s">
        <v>75</v>
      </c>
      <c r="I14" s="98"/>
      <c r="J14" s="102"/>
      <c r="K14" s="17"/>
    </row>
    <row r="15" spans="1:11" ht="30.6" customHeight="1">
      <c r="A15" s="98">
        <v>9</v>
      </c>
      <c r="B15" s="99"/>
      <c r="C15" s="17">
        <v>7580</v>
      </c>
      <c r="D15" s="130">
        <v>45649</v>
      </c>
      <c r="E15" s="18" t="s">
        <v>641</v>
      </c>
      <c r="F15" s="132">
        <v>570000</v>
      </c>
      <c r="G15" s="25">
        <v>500</v>
      </c>
      <c r="H15" s="17" t="s">
        <v>75</v>
      </c>
      <c r="I15" s="98"/>
      <c r="J15" s="102"/>
      <c r="K15" s="17"/>
    </row>
    <row r="16" spans="1:11" ht="29.4" customHeight="1">
      <c r="A16" s="98">
        <v>10</v>
      </c>
      <c r="B16" s="99"/>
      <c r="C16" s="98">
        <v>7587</v>
      </c>
      <c r="D16" s="135">
        <v>45650</v>
      </c>
      <c r="E16" s="99" t="s">
        <v>663</v>
      </c>
      <c r="F16" s="100">
        <v>395000</v>
      </c>
      <c r="G16" s="101"/>
      <c r="H16" s="98" t="s">
        <v>75</v>
      </c>
      <c r="I16" s="98"/>
      <c r="J16" s="102"/>
      <c r="K16" s="17"/>
    </row>
    <row r="17" spans="1:11">
      <c r="A17" s="98">
        <v>11</v>
      </c>
      <c r="B17" s="99"/>
      <c r="C17" s="17">
        <v>8062</v>
      </c>
      <c r="D17" s="130">
        <v>45739</v>
      </c>
      <c r="E17" s="18" t="s">
        <v>738</v>
      </c>
      <c r="F17" s="24">
        <v>250000</v>
      </c>
      <c r="G17" s="116"/>
      <c r="H17" s="17" t="s">
        <v>75</v>
      </c>
      <c r="I17" s="98"/>
      <c r="J17" s="102"/>
      <c r="K17" s="17"/>
    </row>
    <row r="18" spans="1:11">
      <c r="A18" s="98">
        <v>12</v>
      </c>
      <c r="B18" s="99"/>
      <c r="C18" s="17">
        <v>8152</v>
      </c>
      <c r="D18" s="130">
        <v>45760</v>
      </c>
      <c r="E18" s="18" t="s">
        <v>618</v>
      </c>
      <c r="F18" s="132">
        <v>745000</v>
      </c>
      <c r="G18" s="25"/>
      <c r="H18" s="117" t="s">
        <v>75</v>
      </c>
      <c r="I18" s="98"/>
      <c r="J18" s="102"/>
      <c r="K18" s="17"/>
    </row>
    <row r="19" spans="1:11">
      <c r="A19" s="98">
        <v>13</v>
      </c>
      <c r="B19" s="99"/>
      <c r="C19" s="17">
        <v>8713</v>
      </c>
      <c r="D19" s="130">
        <v>45777</v>
      </c>
      <c r="E19" s="18" t="s">
        <v>169</v>
      </c>
      <c r="F19" s="132">
        <v>40000</v>
      </c>
      <c r="G19" s="25"/>
      <c r="H19" s="117" t="s">
        <v>75</v>
      </c>
      <c r="I19" s="98"/>
      <c r="J19" s="102"/>
      <c r="K19" s="17"/>
    </row>
    <row r="20" spans="1:11">
      <c r="A20" s="98">
        <v>14</v>
      </c>
      <c r="B20" s="99"/>
      <c r="C20" s="17">
        <v>9087</v>
      </c>
      <c r="D20" s="130">
        <v>45836</v>
      </c>
      <c r="E20" s="18" t="s">
        <v>807</v>
      </c>
      <c r="F20" s="132">
        <v>1305000</v>
      </c>
      <c r="G20" s="25"/>
      <c r="H20" s="17" t="s">
        <v>75</v>
      </c>
      <c r="I20" s="98"/>
      <c r="J20" s="102"/>
      <c r="K20" s="17"/>
    </row>
    <row r="21" spans="1:11">
      <c r="A21" s="98">
        <v>15</v>
      </c>
      <c r="B21" s="99"/>
      <c r="C21" s="17">
        <v>9434</v>
      </c>
      <c r="D21" s="130">
        <v>45874</v>
      </c>
      <c r="E21" s="18" t="s">
        <v>618</v>
      </c>
      <c r="F21" s="24">
        <v>640000</v>
      </c>
      <c r="G21" s="116"/>
      <c r="H21" s="17" t="s">
        <v>75</v>
      </c>
      <c r="I21" s="98"/>
      <c r="J21" s="102"/>
      <c r="K21" s="17"/>
    </row>
    <row r="22" spans="1:11" ht="27" customHeight="1">
      <c r="A22" s="98">
        <v>16</v>
      </c>
      <c r="B22" s="99"/>
      <c r="C22" s="17">
        <v>9920</v>
      </c>
      <c r="D22" s="130">
        <v>45931</v>
      </c>
      <c r="E22" s="18" t="s">
        <v>1051</v>
      </c>
      <c r="F22" s="132">
        <v>745000</v>
      </c>
      <c r="G22" s="25"/>
      <c r="H22" s="17" t="s">
        <v>75</v>
      </c>
      <c r="I22" s="98"/>
      <c r="J22" s="102"/>
      <c r="K22" s="17"/>
    </row>
    <row r="23" spans="1:11">
      <c r="A23" s="98">
        <v>17</v>
      </c>
      <c r="B23" s="99"/>
      <c r="C23" s="17">
        <v>101</v>
      </c>
      <c r="D23" s="130" t="s">
        <v>1062</v>
      </c>
      <c r="E23" s="18" t="s">
        <v>1082</v>
      </c>
      <c r="F23" s="132">
        <v>310000</v>
      </c>
      <c r="G23" s="25"/>
      <c r="H23" s="17" t="s">
        <v>75</v>
      </c>
      <c r="I23" s="98"/>
      <c r="J23" s="102"/>
      <c r="K23" s="17"/>
    </row>
    <row r="24" spans="1:11">
      <c r="A24" s="98">
        <v>18</v>
      </c>
      <c r="B24" s="99"/>
      <c r="C24" s="17">
        <v>615</v>
      </c>
      <c r="D24" s="130">
        <v>46018</v>
      </c>
      <c r="E24" s="18" t="s">
        <v>618</v>
      </c>
      <c r="F24" s="132">
        <v>740000</v>
      </c>
      <c r="G24" s="25"/>
      <c r="H24" s="117" t="s">
        <v>75</v>
      </c>
      <c r="I24" s="98"/>
      <c r="J24" s="102"/>
      <c r="K24" s="17"/>
    </row>
    <row r="25" spans="1:11">
      <c r="A25" s="98">
        <v>19</v>
      </c>
      <c r="B25" s="99"/>
      <c r="C25" s="98">
        <v>794</v>
      </c>
      <c r="D25" s="98" t="s">
        <v>1178</v>
      </c>
      <c r="E25" s="99" t="s">
        <v>1184</v>
      </c>
      <c r="F25" s="100">
        <v>310000</v>
      </c>
      <c r="G25" s="101"/>
      <c r="H25" s="98" t="s">
        <v>75</v>
      </c>
      <c r="I25" s="98"/>
      <c r="J25" s="102"/>
      <c r="K25" s="17"/>
    </row>
    <row r="26" spans="1:11" ht="28.2" customHeight="1">
      <c r="A26" s="98">
        <v>20</v>
      </c>
      <c r="B26" s="99"/>
      <c r="C26" s="17">
        <v>960</v>
      </c>
      <c r="D26" s="130">
        <v>46358</v>
      </c>
      <c r="E26" s="18" t="s">
        <v>1206</v>
      </c>
      <c r="F26" s="132">
        <v>560000</v>
      </c>
      <c r="G26" s="25"/>
      <c r="H26" s="117" t="s">
        <v>75</v>
      </c>
      <c r="I26" s="98"/>
      <c r="J26" s="102"/>
      <c r="K26" s="17"/>
    </row>
    <row r="27" spans="1:11" ht="29.4" customHeight="1">
      <c r="A27" s="98">
        <v>21</v>
      </c>
      <c r="B27" s="99"/>
      <c r="C27" s="17">
        <v>1281</v>
      </c>
      <c r="D27" s="17" t="s">
        <v>1256</v>
      </c>
      <c r="E27" s="18" t="s">
        <v>1262</v>
      </c>
      <c r="F27" s="132">
        <v>375000</v>
      </c>
      <c r="G27" s="116"/>
      <c r="H27" s="17" t="s">
        <v>75</v>
      </c>
      <c r="I27" s="98"/>
      <c r="J27" s="102"/>
      <c r="K27" s="17"/>
    </row>
    <row r="28" spans="1:11">
      <c r="A28" s="98">
        <v>22</v>
      </c>
      <c r="B28" s="99"/>
      <c r="C28" s="99"/>
      <c r="D28" s="136"/>
      <c r="E28" s="99"/>
      <c r="F28" s="137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103"/>
      <c r="B36" s="214" t="s">
        <v>98</v>
      </c>
      <c r="C36" s="215"/>
      <c r="D36" s="103"/>
      <c r="E36" s="104"/>
      <c r="F36" s="105">
        <f>SUM(F7:F35)</f>
        <v>13915000</v>
      </c>
      <c r="G36" s="106">
        <f>SUM(G7:G35)</f>
        <v>500</v>
      </c>
      <c r="H36" s="103"/>
      <c r="I36" s="103"/>
      <c r="J36" s="107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5300-000000000000}"/>
  </hyperlinks>
  <pageMargins left="0.7" right="0.7" top="0.75" bottom="0.75" header="0.3" footer="0.3"/>
  <pageSetup paperSize="9" scale="66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K118"/>
  <sheetViews>
    <sheetView rightToLeft="1" view="pageBreakPreview" zoomScale="130" zoomScaleNormal="100" zoomScaleSheetLayoutView="13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4" width="12.77734375" style="1" bestFit="1" customWidth="1"/>
    <col min="5" max="5" width="94.6640625" style="73" bestFit="1" customWidth="1"/>
    <col min="6" max="6" width="16.33203125" style="114" bestFit="1" customWidth="1"/>
    <col min="7" max="7" width="6.109375" style="79" bestFit="1" customWidth="1"/>
    <col min="8" max="8" width="15" style="1" bestFit="1" customWidth="1"/>
    <col min="9" max="9" width="10.7773437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79</v>
      </c>
      <c r="B2" s="202" t="s">
        <v>57</v>
      </c>
      <c r="C2" s="203"/>
      <c r="D2" s="138"/>
      <c r="E2" s="86" t="s">
        <v>8</v>
      </c>
      <c r="F2" s="87">
        <v>2006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932</v>
      </c>
      <c r="D3" s="35"/>
      <c r="E3" s="86" t="s">
        <v>68</v>
      </c>
      <c r="F3" s="87" t="s">
        <v>467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18</v>
      </c>
      <c r="B7" s="98"/>
      <c r="C7" s="98">
        <v>5122</v>
      </c>
      <c r="D7" s="98" t="s">
        <v>313</v>
      </c>
      <c r="E7" s="99" t="s">
        <v>315</v>
      </c>
      <c r="F7" s="100">
        <v>420000</v>
      </c>
      <c r="G7" s="101"/>
      <c r="H7" s="98" t="s">
        <v>75</v>
      </c>
      <c r="I7" s="98"/>
      <c r="J7" s="102"/>
      <c r="K7" s="17"/>
    </row>
    <row r="8" spans="1:11">
      <c r="A8" s="98">
        <v>19</v>
      </c>
      <c r="B8" s="98"/>
      <c r="C8" s="98">
        <v>5122</v>
      </c>
      <c r="D8" s="98" t="s">
        <v>313</v>
      </c>
      <c r="E8" s="99" t="s">
        <v>316</v>
      </c>
      <c r="F8" s="100">
        <v>1958000</v>
      </c>
      <c r="G8" s="101"/>
      <c r="H8" s="98" t="s">
        <v>75</v>
      </c>
      <c r="I8" s="98"/>
      <c r="J8" s="102"/>
      <c r="K8" s="17"/>
    </row>
    <row r="9" spans="1:11">
      <c r="A9" s="98">
        <v>20</v>
      </c>
      <c r="B9" s="98"/>
      <c r="C9" s="98">
        <v>5166</v>
      </c>
      <c r="D9" s="135">
        <v>44992</v>
      </c>
      <c r="E9" s="99" t="s">
        <v>324</v>
      </c>
      <c r="F9" s="100">
        <v>970000</v>
      </c>
      <c r="G9" s="101"/>
      <c r="H9" s="98" t="s">
        <v>75</v>
      </c>
      <c r="I9" s="98"/>
      <c r="J9" s="102"/>
      <c r="K9" s="17"/>
    </row>
    <row r="10" spans="1:11">
      <c r="A10" s="98">
        <v>21</v>
      </c>
      <c r="B10" s="98"/>
      <c r="C10" s="98">
        <v>5166</v>
      </c>
      <c r="D10" s="135">
        <v>44992</v>
      </c>
      <c r="E10" s="99" t="s">
        <v>324</v>
      </c>
      <c r="F10" s="100">
        <v>250000</v>
      </c>
      <c r="G10" s="101"/>
      <c r="H10" s="98" t="s">
        <v>75</v>
      </c>
      <c r="I10" s="98"/>
      <c r="J10" s="102"/>
      <c r="K10" s="17"/>
    </row>
    <row r="11" spans="1:11">
      <c r="A11" s="98">
        <v>22</v>
      </c>
      <c r="B11" s="98"/>
      <c r="C11" s="98">
        <v>5166</v>
      </c>
      <c r="D11" s="135">
        <v>44992</v>
      </c>
      <c r="E11" s="99" t="s">
        <v>324</v>
      </c>
      <c r="F11" s="100">
        <v>250000</v>
      </c>
      <c r="G11" s="101"/>
      <c r="H11" s="98" t="s">
        <v>75</v>
      </c>
      <c r="I11" s="98"/>
      <c r="J11" s="102"/>
      <c r="K11" s="17"/>
    </row>
    <row r="12" spans="1:11">
      <c r="A12" s="98">
        <v>23</v>
      </c>
      <c r="B12" s="98"/>
      <c r="C12" s="98">
        <v>5166</v>
      </c>
      <c r="D12" s="135">
        <v>44992</v>
      </c>
      <c r="E12" s="99" t="s">
        <v>324</v>
      </c>
      <c r="F12" s="100">
        <v>140000</v>
      </c>
      <c r="G12" s="101"/>
      <c r="H12" s="98" t="s">
        <v>75</v>
      </c>
      <c r="I12" s="98"/>
      <c r="J12" s="102"/>
      <c r="K12" s="17"/>
    </row>
    <row r="13" spans="1:11">
      <c r="A13" s="98">
        <v>24</v>
      </c>
      <c r="B13" s="98"/>
      <c r="C13" s="98">
        <v>5166</v>
      </c>
      <c r="D13" s="135">
        <v>44992</v>
      </c>
      <c r="E13" s="99" t="s">
        <v>324</v>
      </c>
      <c r="F13" s="100">
        <v>38000</v>
      </c>
      <c r="G13" s="101"/>
      <c r="H13" s="98" t="s">
        <v>75</v>
      </c>
      <c r="I13" s="98"/>
      <c r="J13" s="102"/>
      <c r="K13" s="17"/>
    </row>
    <row r="14" spans="1:11">
      <c r="A14" s="98">
        <v>26</v>
      </c>
      <c r="B14" s="98"/>
      <c r="C14" s="98">
        <v>5596</v>
      </c>
      <c r="D14" s="135">
        <v>45117</v>
      </c>
      <c r="E14" s="99" t="s">
        <v>324</v>
      </c>
      <c r="F14" s="100">
        <v>3235000</v>
      </c>
      <c r="G14" s="101"/>
      <c r="H14" s="98" t="s">
        <v>75</v>
      </c>
      <c r="I14" s="98"/>
      <c r="J14" s="102"/>
      <c r="K14" s="17"/>
    </row>
    <row r="15" spans="1:11">
      <c r="A15" s="98">
        <v>27</v>
      </c>
      <c r="B15" s="98"/>
      <c r="C15" s="98">
        <v>6145</v>
      </c>
      <c r="D15" s="135" t="s">
        <v>412</v>
      </c>
      <c r="E15" s="99" t="s">
        <v>324</v>
      </c>
      <c r="F15" s="100">
        <v>1415000</v>
      </c>
      <c r="G15" s="101"/>
      <c r="H15" s="98" t="s">
        <v>75</v>
      </c>
      <c r="I15" s="98"/>
      <c r="J15" s="102"/>
      <c r="K15" s="17"/>
    </row>
    <row r="16" spans="1:11" ht="33.75" customHeight="1">
      <c r="A16" s="98">
        <v>28</v>
      </c>
      <c r="B16" s="98"/>
      <c r="C16" s="98" t="s">
        <v>414</v>
      </c>
      <c r="D16" s="135">
        <v>45293</v>
      </c>
      <c r="E16" s="99" t="s">
        <v>464</v>
      </c>
      <c r="F16" s="100">
        <v>475000</v>
      </c>
      <c r="G16" s="101"/>
      <c r="H16" s="98" t="s">
        <v>166</v>
      </c>
      <c r="I16" s="98"/>
      <c r="J16" s="102"/>
      <c r="K16" s="17"/>
    </row>
    <row r="17" spans="1:11">
      <c r="A17" s="98">
        <v>29</v>
      </c>
      <c r="B17" s="98"/>
      <c r="C17" s="98">
        <v>6381</v>
      </c>
      <c r="D17" s="135" t="s">
        <v>501</v>
      </c>
      <c r="E17" s="99" t="s">
        <v>502</v>
      </c>
      <c r="F17" s="100">
        <v>320000</v>
      </c>
      <c r="G17" s="101"/>
      <c r="H17" s="98" t="s">
        <v>75</v>
      </c>
      <c r="I17" s="98"/>
      <c r="J17" s="102"/>
      <c r="K17" s="17"/>
    </row>
    <row r="18" spans="1:11">
      <c r="A18" s="17">
        <v>17</v>
      </c>
      <c r="B18" s="17"/>
      <c r="C18" s="98">
        <v>6488</v>
      </c>
      <c r="D18" s="135">
        <v>45601</v>
      </c>
      <c r="E18" s="99" t="s">
        <v>515</v>
      </c>
      <c r="F18" s="100">
        <v>125000</v>
      </c>
      <c r="G18" s="101"/>
      <c r="H18" s="98" t="s">
        <v>75</v>
      </c>
      <c r="I18" s="17"/>
      <c r="J18" s="117"/>
      <c r="K18" s="17"/>
    </row>
    <row r="19" spans="1:11">
      <c r="A19" s="98">
        <v>31</v>
      </c>
      <c r="B19" s="98"/>
      <c r="C19" s="98">
        <v>6861</v>
      </c>
      <c r="D19" s="135">
        <v>45451</v>
      </c>
      <c r="E19" s="99" t="s">
        <v>555</v>
      </c>
      <c r="F19" s="100">
        <v>60000</v>
      </c>
      <c r="G19" s="101"/>
      <c r="H19" s="98" t="s">
        <v>75</v>
      </c>
      <c r="I19" s="98"/>
      <c r="J19" s="102"/>
      <c r="K19" s="17"/>
    </row>
    <row r="20" spans="1:11">
      <c r="A20" s="98">
        <v>32</v>
      </c>
      <c r="B20" s="98"/>
      <c r="C20" s="98">
        <v>7071</v>
      </c>
      <c r="D20" s="135">
        <v>45560</v>
      </c>
      <c r="E20" s="99" t="s">
        <v>144</v>
      </c>
      <c r="F20" s="100">
        <v>250000</v>
      </c>
      <c r="G20" s="101"/>
      <c r="H20" s="98" t="s">
        <v>75</v>
      </c>
      <c r="I20" s="98"/>
      <c r="J20" s="102"/>
      <c r="K20" s="17"/>
    </row>
    <row r="21" spans="1:11">
      <c r="A21" s="98">
        <v>33</v>
      </c>
      <c r="B21" s="98"/>
      <c r="C21" s="17">
        <v>7272</v>
      </c>
      <c r="D21" s="130">
        <v>45599</v>
      </c>
      <c r="E21" s="131" t="s">
        <v>259</v>
      </c>
      <c r="F21" s="132">
        <v>2500000</v>
      </c>
      <c r="G21" s="116"/>
      <c r="H21" s="17" t="s">
        <v>75</v>
      </c>
      <c r="I21" s="98"/>
      <c r="J21" s="102"/>
      <c r="K21" s="17"/>
    </row>
    <row r="22" spans="1:11">
      <c r="A22" s="98">
        <v>34</v>
      </c>
      <c r="B22" s="98"/>
      <c r="C22" s="17">
        <v>7348</v>
      </c>
      <c r="D22" s="130">
        <v>45619</v>
      </c>
      <c r="E22" s="131" t="s">
        <v>628</v>
      </c>
      <c r="F22" s="132">
        <v>110000</v>
      </c>
      <c r="G22" s="116"/>
      <c r="H22" s="17" t="s">
        <v>75</v>
      </c>
      <c r="I22" s="98"/>
      <c r="J22" s="102"/>
      <c r="K22" s="17"/>
    </row>
    <row r="23" spans="1:11" ht="30.75" customHeight="1">
      <c r="A23" s="98">
        <v>35</v>
      </c>
      <c r="B23" s="98"/>
      <c r="C23" s="98">
        <v>7587</v>
      </c>
      <c r="D23" s="135">
        <v>45650</v>
      </c>
      <c r="E23" s="99" t="s">
        <v>661</v>
      </c>
      <c r="F23" s="100">
        <v>525000</v>
      </c>
      <c r="G23" s="101">
        <v>560</v>
      </c>
      <c r="H23" s="98" t="s">
        <v>75</v>
      </c>
      <c r="I23" s="98"/>
      <c r="J23" s="102"/>
      <c r="K23" s="17"/>
    </row>
    <row r="24" spans="1:11">
      <c r="A24" s="98">
        <v>36</v>
      </c>
      <c r="B24" s="98"/>
      <c r="C24" s="98">
        <v>7717</v>
      </c>
      <c r="D24" s="135">
        <v>45676</v>
      </c>
      <c r="E24" s="99" t="s">
        <v>259</v>
      </c>
      <c r="F24" s="100">
        <v>675000</v>
      </c>
      <c r="G24" s="127"/>
      <c r="H24" s="98" t="s">
        <v>75</v>
      </c>
      <c r="I24" s="98"/>
      <c r="J24" s="102"/>
      <c r="K24" s="17"/>
    </row>
    <row r="25" spans="1:11">
      <c r="A25" s="98">
        <v>37</v>
      </c>
      <c r="B25" s="98"/>
      <c r="C25" s="98">
        <v>9539</v>
      </c>
      <c r="D25" s="135">
        <v>45890</v>
      </c>
      <c r="E25" s="99" t="s">
        <v>1003</v>
      </c>
      <c r="F25" s="100">
        <v>300000</v>
      </c>
      <c r="G25" s="101"/>
      <c r="H25" s="102" t="s">
        <v>75</v>
      </c>
      <c r="I25" s="98"/>
      <c r="J25" s="102"/>
      <c r="K25" s="17"/>
    </row>
    <row r="26" spans="1:11">
      <c r="A26" s="98">
        <v>38</v>
      </c>
      <c r="B26" s="98"/>
      <c r="C26" s="17">
        <v>9638</v>
      </c>
      <c r="D26" s="130">
        <v>45900</v>
      </c>
      <c r="E26" s="18" t="s">
        <v>1023</v>
      </c>
      <c r="F26" s="132">
        <v>1950000</v>
      </c>
      <c r="G26" s="116"/>
      <c r="H26" s="17" t="s">
        <v>75</v>
      </c>
      <c r="I26" s="98"/>
      <c r="J26" s="102"/>
      <c r="K26" s="17"/>
    </row>
    <row r="27" spans="1:11">
      <c r="A27" s="98">
        <v>39</v>
      </c>
      <c r="B27" s="98"/>
      <c r="C27" s="98">
        <v>9738</v>
      </c>
      <c r="D27" s="135">
        <v>45913</v>
      </c>
      <c r="E27" s="99" t="s">
        <v>1037</v>
      </c>
      <c r="F27" s="100">
        <v>195000</v>
      </c>
      <c r="G27" s="101"/>
      <c r="H27" s="98" t="s">
        <v>75</v>
      </c>
      <c r="I27" s="98"/>
      <c r="J27" s="102"/>
      <c r="K27" s="17"/>
    </row>
    <row r="28" spans="1:11">
      <c r="A28" s="98">
        <v>40</v>
      </c>
      <c r="B28" s="98"/>
      <c r="C28" s="17">
        <v>101</v>
      </c>
      <c r="D28" s="130" t="s">
        <v>1062</v>
      </c>
      <c r="E28" s="18" t="s">
        <v>1072</v>
      </c>
      <c r="F28" s="132">
        <v>135000</v>
      </c>
      <c r="G28" s="25"/>
      <c r="H28" s="17" t="s">
        <v>75</v>
      </c>
      <c r="I28" s="98"/>
      <c r="J28" s="102"/>
      <c r="K28" s="17"/>
    </row>
    <row r="29" spans="1:11">
      <c r="A29" s="98">
        <v>41</v>
      </c>
      <c r="B29" s="98"/>
      <c r="C29" s="17">
        <v>519</v>
      </c>
      <c r="D29" s="130">
        <v>46004</v>
      </c>
      <c r="E29" s="18" t="s">
        <v>1125</v>
      </c>
      <c r="F29" s="132">
        <v>360000</v>
      </c>
      <c r="G29" s="25"/>
      <c r="H29" s="17" t="s">
        <v>75</v>
      </c>
      <c r="I29" s="98"/>
      <c r="J29" s="102"/>
      <c r="K29" s="17"/>
    </row>
    <row r="30" spans="1:11">
      <c r="A30" s="98">
        <v>42</v>
      </c>
      <c r="B30" s="98"/>
      <c r="C30" s="98">
        <v>559</v>
      </c>
      <c r="D30" s="135">
        <v>46011</v>
      </c>
      <c r="E30" s="99" t="s">
        <v>1133</v>
      </c>
      <c r="F30" s="100">
        <v>1500000</v>
      </c>
      <c r="G30" s="101"/>
      <c r="H30" s="98" t="s">
        <v>75</v>
      </c>
      <c r="I30" s="98"/>
      <c r="J30" s="102"/>
      <c r="K30" s="17"/>
    </row>
    <row r="31" spans="1:11" ht="37.5" customHeight="1">
      <c r="A31" s="98">
        <v>43</v>
      </c>
      <c r="B31" s="98"/>
      <c r="C31" s="98">
        <v>615</v>
      </c>
      <c r="D31" s="135">
        <v>46018</v>
      </c>
      <c r="E31" s="99" t="s">
        <v>1135</v>
      </c>
      <c r="F31" s="100">
        <v>2785000</v>
      </c>
      <c r="G31" s="101"/>
      <c r="H31" s="98" t="s">
        <v>75</v>
      </c>
      <c r="I31" s="98"/>
      <c r="J31" s="102"/>
      <c r="K31" s="17"/>
    </row>
    <row r="32" spans="1:11" ht="24.6" customHeight="1">
      <c r="A32" s="98">
        <v>44</v>
      </c>
      <c r="B32" s="98"/>
      <c r="C32" s="98">
        <v>668</v>
      </c>
      <c r="D32" s="135">
        <v>46082</v>
      </c>
      <c r="E32" s="99" t="s">
        <v>1155</v>
      </c>
      <c r="F32" s="100">
        <v>4375000</v>
      </c>
      <c r="G32" s="101"/>
      <c r="H32" s="98" t="s">
        <v>75</v>
      </c>
      <c r="I32" s="98"/>
      <c r="J32" s="102"/>
      <c r="K32" s="17"/>
    </row>
    <row r="33" spans="1:11" ht="28.2" customHeight="1">
      <c r="A33" s="98">
        <v>45</v>
      </c>
      <c r="B33" s="98"/>
      <c r="C33" s="98">
        <v>794</v>
      </c>
      <c r="D33" s="98" t="s">
        <v>1178</v>
      </c>
      <c r="E33" s="99" t="s">
        <v>1179</v>
      </c>
      <c r="F33" s="100">
        <v>1337000</v>
      </c>
      <c r="G33" s="101"/>
      <c r="H33" s="98" t="s">
        <v>75</v>
      </c>
      <c r="I33" s="98"/>
      <c r="J33" s="102"/>
      <c r="K33" s="17"/>
    </row>
    <row r="34" spans="1:11">
      <c r="A34" s="98">
        <v>46</v>
      </c>
      <c r="B34" s="98"/>
      <c r="C34" s="17">
        <v>1158</v>
      </c>
      <c r="D34" s="17" t="s">
        <v>1241</v>
      </c>
      <c r="E34" s="18" t="s">
        <v>1242</v>
      </c>
      <c r="F34" s="132">
        <v>478000</v>
      </c>
      <c r="G34" s="116"/>
      <c r="H34" s="17" t="s">
        <v>75</v>
      </c>
      <c r="I34" s="98"/>
      <c r="J34" s="102"/>
      <c r="K34" s="17"/>
    </row>
    <row r="35" spans="1:11">
      <c r="A35" s="98">
        <v>47</v>
      </c>
      <c r="B35" s="98"/>
      <c r="C35" s="98"/>
      <c r="D35" s="98"/>
      <c r="E35" s="99"/>
      <c r="F35" s="100"/>
      <c r="G35" s="101"/>
      <c r="H35" s="98"/>
      <c r="I35" s="98"/>
      <c r="J35" s="102"/>
      <c r="K35" s="17"/>
    </row>
    <row r="36" spans="1:11">
      <c r="A36" s="98">
        <v>48</v>
      </c>
      <c r="B36" s="98"/>
      <c r="C36" s="98"/>
      <c r="D36" s="98"/>
      <c r="E36" s="99"/>
      <c r="F36" s="100"/>
      <c r="G36" s="101"/>
      <c r="H36" s="98"/>
      <c r="I36" s="98"/>
      <c r="J36" s="102"/>
      <c r="K36" s="17"/>
    </row>
    <row r="37" spans="1:11">
      <c r="A37" s="98">
        <v>49</v>
      </c>
      <c r="B37" s="98"/>
      <c r="C37" s="98"/>
      <c r="D37" s="98"/>
      <c r="E37" s="99"/>
      <c r="F37" s="100"/>
      <c r="G37" s="101"/>
      <c r="H37" s="98"/>
      <c r="I37" s="98"/>
      <c r="J37" s="102"/>
      <c r="K37" s="17"/>
    </row>
    <row r="38" spans="1:11">
      <c r="A38" s="98">
        <v>50</v>
      </c>
      <c r="B38" s="98"/>
      <c r="C38" s="98"/>
      <c r="D38" s="98"/>
      <c r="E38" s="99"/>
      <c r="F38" s="100"/>
      <c r="G38" s="101"/>
      <c r="H38" s="98"/>
      <c r="I38" s="98"/>
      <c r="J38" s="102"/>
      <c r="K38" s="17"/>
    </row>
    <row r="39" spans="1:11">
      <c r="A39" s="98">
        <v>51</v>
      </c>
      <c r="B39" s="98"/>
      <c r="C39" s="98"/>
      <c r="D39" s="98"/>
      <c r="E39" s="99"/>
      <c r="F39" s="100"/>
      <c r="G39" s="101"/>
      <c r="H39" s="98"/>
      <c r="I39" s="98"/>
      <c r="J39" s="102"/>
      <c r="K39" s="17"/>
    </row>
    <row r="40" spans="1:11">
      <c r="A40" s="98">
        <v>52</v>
      </c>
      <c r="B40" s="98"/>
      <c r="C40" s="98"/>
      <c r="D40" s="98"/>
      <c r="E40" s="99"/>
      <c r="F40" s="100"/>
      <c r="G40" s="101"/>
      <c r="H40" s="98"/>
      <c r="I40" s="98"/>
      <c r="J40" s="102"/>
      <c r="K40" s="17"/>
    </row>
    <row r="41" spans="1:11">
      <c r="A41" s="98">
        <v>53</v>
      </c>
      <c r="B41" s="98"/>
      <c r="C41" s="98"/>
      <c r="D41" s="98"/>
      <c r="E41" s="99"/>
      <c r="F41" s="100"/>
      <c r="G41" s="101"/>
      <c r="H41" s="98"/>
      <c r="I41" s="98"/>
      <c r="J41" s="102"/>
      <c r="K41" s="17"/>
    </row>
    <row r="42" spans="1:11">
      <c r="A42" s="98">
        <v>54</v>
      </c>
      <c r="B42" s="98"/>
      <c r="C42" s="98"/>
      <c r="D42" s="98"/>
      <c r="E42" s="99"/>
      <c r="F42" s="100"/>
      <c r="G42" s="101"/>
      <c r="H42" s="98"/>
      <c r="I42" s="98"/>
      <c r="J42" s="102"/>
      <c r="K42" s="17"/>
    </row>
    <row r="43" spans="1:11">
      <c r="A43" s="98">
        <v>55</v>
      </c>
      <c r="B43" s="98"/>
      <c r="C43" s="98"/>
      <c r="D43" s="98"/>
      <c r="E43" s="99"/>
      <c r="F43" s="100"/>
      <c r="G43" s="101"/>
      <c r="H43" s="98"/>
      <c r="I43" s="98"/>
      <c r="J43" s="102"/>
      <c r="K43" s="17"/>
    </row>
    <row r="44" spans="1:11">
      <c r="A44" s="98">
        <v>56</v>
      </c>
      <c r="B44" s="98"/>
      <c r="C44" s="98"/>
      <c r="D44" s="98"/>
      <c r="E44" s="99"/>
      <c r="F44" s="100"/>
      <c r="G44" s="101"/>
      <c r="H44" s="98"/>
      <c r="I44" s="98"/>
      <c r="J44" s="102"/>
      <c r="K44" s="17"/>
    </row>
    <row r="45" spans="1:11">
      <c r="A45" s="98">
        <v>57</v>
      </c>
      <c r="B45" s="98"/>
      <c r="C45" s="98"/>
      <c r="D45" s="98"/>
      <c r="E45" s="99"/>
      <c r="F45" s="100"/>
      <c r="G45" s="101"/>
      <c r="H45" s="98"/>
      <c r="I45" s="98"/>
      <c r="J45" s="102"/>
      <c r="K45" s="17"/>
    </row>
    <row r="46" spans="1:11">
      <c r="A46" s="98">
        <v>58</v>
      </c>
      <c r="B46" s="98"/>
      <c r="C46" s="98"/>
      <c r="D46" s="98"/>
      <c r="E46" s="99"/>
      <c r="F46" s="100"/>
      <c r="G46" s="101"/>
      <c r="H46" s="98"/>
      <c r="I46" s="98"/>
      <c r="J46" s="102"/>
      <c r="K46" s="17"/>
    </row>
    <row r="47" spans="1:11">
      <c r="A47" s="98">
        <v>59</v>
      </c>
      <c r="B47" s="98"/>
      <c r="C47" s="98"/>
      <c r="D47" s="98"/>
      <c r="E47" s="99"/>
      <c r="F47" s="100"/>
      <c r="G47" s="101"/>
      <c r="H47" s="98"/>
      <c r="I47" s="98"/>
      <c r="J47" s="102"/>
      <c r="K47" s="17"/>
    </row>
    <row r="48" spans="1:11">
      <c r="A48" s="98">
        <v>60</v>
      </c>
      <c r="B48" s="98"/>
      <c r="C48" s="98"/>
      <c r="D48" s="98"/>
      <c r="E48" s="99"/>
      <c r="F48" s="100"/>
      <c r="G48" s="101"/>
      <c r="H48" s="98"/>
      <c r="I48" s="98"/>
      <c r="J48" s="102"/>
      <c r="K48" s="17"/>
    </row>
    <row r="49" spans="1:11">
      <c r="A49" s="103"/>
      <c r="B49" s="206" t="s">
        <v>98</v>
      </c>
      <c r="C49" s="206"/>
      <c r="D49" s="103"/>
      <c r="E49" s="104"/>
      <c r="F49" s="105">
        <f>SUM(F7:F48)</f>
        <v>27131000</v>
      </c>
      <c r="G49" s="106">
        <f>SUM(G7:G48)</f>
        <v>560</v>
      </c>
      <c r="H49" s="103"/>
      <c r="I49" s="103"/>
      <c r="J49" s="107"/>
      <c r="K49" s="108"/>
    </row>
    <row r="50" spans="1:11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1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1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1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1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1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1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1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1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1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1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1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1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1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1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J69" s="115"/>
    </row>
    <row r="70" spans="1:10">
      <c r="J70" s="115"/>
    </row>
    <row r="71" spans="1:10">
      <c r="J71" s="115"/>
    </row>
    <row r="72" spans="1:10">
      <c r="J72" s="115"/>
    </row>
    <row r="73" spans="1:10">
      <c r="J73" s="115"/>
    </row>
    <row r="74" spans="1:10">
      <c r="J74" s="115"/>
    </row>
    <row r="75" spans="1:10">
      <c r="J75" s="115"/>
    </row>
    <row r="76" spans="1:10">
      <c r="J76" s="115"/>
    </row>
    <row r="77" spans="1:10">
      <c r="J77" s="115"/>
    </row>
    <row r="78" spans="1:10">
      <c r="J78" s="115"/>
    </row>
    <row r="79" spans="1:10">
      <c r="J79" s="115"/>
    </row>
    <row r="80" spans="1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49:C49"/>
  </mergeCells>
  <hyperlinks>
    <hyperlink ref="K2" location="الاليات!A1" display="الاليات " xr:uid="{00000000-0004-0000-5400-000000000000}"/>
  </hyperlinks>
  <pageMargins left="0.7" right="0.7" top="0.75" bottom="0.75" header="0.3" footer="0.3"/>
  <pageSetup paperSize="9" scale="50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K118"/>
  <sheetViews>
    <sheetView rightToLeft="1" view="pageBreakPreview" zoomScaleNormal="100" zoomScaleSheetLayoutView="100" workbookViewId="0">
      <selection activeCell="K2" sqref="K2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4" width="12.77734375" style="1" bestFit="1" customWidth="1"/>
    <col min="5" max="5" width="14.44140625" style="73" bestFit="1" customWidth="1"/>
    <col min="6" max="6" width="15.109375" style="114" bestFit="1" customWidth="1"/>
    <col min="7" max="7" width="6.21875" style="79" bestFit="1" customWidth="1"/>
    <col min="8" max="8" width="13.44140625" style="1" bestFit="1" customWidth="1"/>
    <col min="9" max="9" width="10.21875" style="1" bestFit="1" customWidth="1"/>
    <col min="10" max="10" width="5.664062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81</v>
      </c>
      <c r="B2" s="202" t="s">
        <v>930</v>
      </c>
      <c r="C2" s="203"/>
      <c r="D2" s="85"/>
      <c r="E2" s="86" t="s">
        <v>8</v>
      </c>
      <c r="F2" s="87">
        <v>2014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934</v>
      </c>
      <c r="D3" s="89"/>
      <c r="E3" s="86" t="s">
        <v>68</v>
      </c>
      <c r="F3" s="87" t="s">
        <v>467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8"/>
      <c r="C7" s="98">
        <v>5365</v>
      </c>
      <c r="D7" s="135">
        <v>45268</v>
      </c>
      <c r="E7" s="99" t="s">
        <v>336</v>
      </c>
      <c r="F7" s="100">
        <v>1522000</v>
      </c>
      <c r="G7" s="101">
        <v>200</v>
      </c>
      <c r="H7" s="98" t="s">
        <v>75</v>
      </c>
      <c r="I7" s="98"/>
      <c r="J7" s="102"/>
      <c r="K7" s="17"/>
    </row>
    <row r="8" spans="1:11">
      <c r="A8" s="98">
        <v>2</v>
      </c>
      <c r="B8" s="98"/>
      <c r="C8" s="98">
        <v>6317</v>
      </c>
      <c r="D8" s="98" t="s">
        <v>430</v>
      </c>
      <c r="E8" s="99" t="s">
        <v>135</v>
      </c>
      <c r="F8" s="100">
        <v>290000</v>
      </c>
      <c r="G8" s="101"/>
      <c r="H8" s="98" t="s">
        <v>75</v>
      </c>
      <c r="I8" s="98"/>
      <c r="J8" s="102"/>
      <c r="K8" s="17"/>
    </row>
    <row r="9" spans="1:11">
      <c r="A9" s="98">
        <v>3</v>
      </c>
      <c r="B9" s="98"/>
      <c r="C9" s="98">
        <v>8062</v>
      </c>
      <c r="D9" s="135">
        <v>45739</v>
      </c>
      <c r="E9" s="99" t="s">
        <v>739</v>
      </c>
      <c r="F9" s="100">
        <v>258000</v>
      </c>
      <c r="G9" s="101"/>
      <c r="H9" s="98" t="s">
        <v>75</v>
      </c>
      <c r="I9" s="98"/>
      <c r="J9" s="102"/>
      <c r="K9" s="17"/>
    </row>
    <row r="10" spans="1:11">
      <c r="A10" s="98">
        <v>4</v>
      </c>
      <c r="B10" s="98"/>
      <c r="C10" s="98">
        <v>559</v>
      </c>
      <c r="D10" s="135">
        <v>46011</v>
      </c>
      <c r="E10" s="99" t="s">
        <v>739</v>
      </c>
      <c r="F10" s="100">
        <v>255000</v>
      </c>
      <c r="G10" s="101"/>
      <c r="H10" s="98" t="s">
        <v>75</v>
      </c>
      <c r="I10" s="98"/>
      <c r="J10" s="102"/>
      <c r="K10" s="17"/>
    </row>
    <row r="11" spans="1:11" ht="34.799999999999997">
      <c r="A11" s="98">
        <v>5</v>
      </c>
      <c r="B11" s="98"/>
      <c r="C11" s="98">
        <v>1093</v>
      </c>
      <c r="D11" s="135">
        <v>46086</v>
      </c>
      <c r="E11" s="99" t="s">
        <v>1226</v>
      </c>
      <c r="F11" s="100">
        <v>85000</v>
      </c>
      <c r="G11" s="101"/>
      <c r="H11" s="98" t="s">
        <v>75</v>
      </c>
      <c r="I11" s="98"/>
      <c r="J11" s="102"/>
      <c r="K11" s="17"/>
    </row>
    <row r="12" spans="1:11" ht="69.599999999999994">
      <c r="A12" s="98">
        <v>6</v>
      </c>
      <c r="B12" s="98"/>
      <c r="C12" s="17">
        <v>1158</v>
      </c>
      <c r="D12" s="17" t="s">
        <v>1241</v>
      </c>
      <c r="E12" s="18" t="s">
        <v>1244</v>
      </c>
      <c r="F12" s="132">
        <v>128000</v>
      </c>
      <c r="G12" s="116"/>
      <c r="H12" s="17" t="s">
        <v>75</v>
      </c>
      <c r="I12" s="98"/>
      <c r="J12" s="102"/>
      <c r="K12" s="17"/>
    </row>
    <row r="13" spans="1:11">
      <c r="A13" s="98">
        <v>7</v>
      </c>
      <c r="B13" s="98"/>
      <c r="C13" s="98">
        <v>1281</v>
      </c>
      <c r="D13" s="135" t="s">
        <v>1256</v>
      </c>
      <c r="E13" s="99" t="s">
        <v>1259</v>
      </c>
      <c r="F13" s="100">
        <v>155000</v>
      </c>
      <c r="G13" s="127"/>
      <c r="H13" s="98" t="s">
        <v>75</v>
      </c>
      <c r="I13" s="98"/>
      <c r="J13" s="102"/>
      <c r="K13" s="17"/>
    </row>
    <row r="14" spans="1:11">
      <c r="A14" s="98">
        <v>8</v>
      </c>
      <c r="B14" s="98"/>
      <c r="C14" s="17">
        <v>1281</v>
      </c>
      <c r="D14" s="17" t="s">
        <v>1256</v>
      </c>
      <c r="E14" s="18" t="s">
        <v>1268</v>
      </c>
      <c r="F14" s="132">
        <v>1660000</v>
      </c>
      <c r="G14" s="116"/>
      <c r="H14" s="17" t="s">
        <v>75</v>
      </c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00"/>
      <c r="G15" s="101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00"/>
      <c r="G16" s="101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00"/>
      <c r="G17" s="101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00"/>
      <c r="G18" s="101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00"/>
      <c r="G19" s="101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00"/>
      <c r="G20" s="101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103"/>
      <c r="B35" s="206" t="s">
        <v>98</v>
      </c>
      <c r="C35" s="206"/>
      <c r="D35" s="103"/>
      <c r="E35" s="104"/>
      <c r="F35" s="105">
        <f>SUM(F7:F34)</f>
        <v>4353000</v>
      </c>
      <c r="G35" s="106">
        <f>SUM(G7:G34)</f>
        <v>200</v>
      </c>
      <c r="H35" s="103"/>
      <c r="I35" s="103"/>
      <c r="J35" s="107"/>
      <c r="K35" s="108"/>
    </row>
    <row r="36" spans="1:11">
      <c r="A36" s="109"/>
      <c r="B36" s="109"/>
      <c r="C36" s="109"/>
      <c r="D36" s="109"/>
      <c r="E36" s="110"/>
      <c r="F36" s="111"/>
      <c r="G36" s="112"/>
      <c r="H36" s="109"/>
      <c r="I36" s="109"/>
      <c r="J36" s="113"/>
    </row>
    <row r="37" spans="1:11">
      <c r="A37" s="109"/>
      <c r="B37" s="109"/>
      <c r="C37" s="109"/>
      <c r="D37" s="109"/>
      <c r="E37" s="110"/>
      <c r="F37" s="111"/>
      <c r="G37" s="112"/>
      <c r="H37" s="109"/>
      <c r="I37" s="109"/>
      <c r="J37" s="113"/>
    </row>
    <row r="38" spans="1:11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11"/>
      <c r="G73" s="112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11"/>
      <c r="G74" s="112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11"/>
      <c r="G75" s="112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11"/>
      <c r="G76" s="112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11"/>
      <c r="G77" s="112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11"/>
      <c r="G78" s="112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11"/>
      <c r="G79" s="112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11"/>
      <c r="G80" s="112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11"/>
      <c r="G81" s="112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11"/>
      <c r="G82" s="112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11"/>
      <c r="G83" s="112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11"/>
      <c r="G84" s="112"/>
      <c r="H84" s="109"/>
      <c r="I84" s="109"/>
      <c r="J84" s="113"/>
    </row>
    <row r="85" spans="1:10">
      <c r="J85" s="115"/>
    </row>
    <row r="86" spans="1:10">
      <c r="J86" s="115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5500-000000000000}"/>
  </hyperlinks>
  <pageMargins left="0.7" right="0.7" top="0.75" bottom="0.75" header="0.3" footer="0.3"/>
  <pageSetup paperSize="9" scale="67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K35"/>
  <sheetViews>
    <sheetView rightToLeft="1" topLeftCell="A2" zoomScale="120" zoomScaleNormal="120" workbookViewId="0">
      <selection activeCell="K2" sqref="K2"/>
    </sheetView>
  </sheetViews>
  <sheetFormatPr defaultRowHeight="17.399999999999999"/>
  <cols>
    <col min="1" max="1" width="3.44140625" style="149" bestFit="1" customWidth="1"/>
    <col min="2" max="2" width="8.77734375" style="149" bestFit="1" customWidth="1"/>
    <col min="3" max="3" width="11.6640625" style="149" bestFit="1" customWidth="1"/>
    <col min="4" max="4" width="12.77734375" style="149" bestFit="1" customWidth="1"/>
    <col min="5" max="5" width="34.109375" style="149" customWidth="1"/>
    <col min="6" max="6" width="15.109375" style="149" bestFit="1" customWidth="1"/>
    <col min="7" max="7" width="9.21875" style="149" bestFit="1" customWidth="1"/>
    <col min="8" max="8" width="13.44140625" style="149" bestFit="1" customWidth="1"/>
    <col min="9" max="9" width="10.5546875" style="149" bestFit="1" customWidth="1"/>
    <col min="10" max="10" width="6.6640625" style="149" bestFit="1" customWidth="1"/>
    <col min="11" max="11" width="16.88671875" style="149" bestFit="1" customWidth="1"/>
    <col min="12" max="16384" width="8.88671875" style="149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81</v>
      </c>
      <c r="B2" s="202" t="s">
        <v>930</v>
      </c>
      <c r="C2" s="203"/>
      <c r="D2" s="85"/>
      <c r="E2" s="86" t="s">
        <v>8</v>
      </c>
      <c r="F2" s="87">
        <v>2014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1149</v>
      </c>
      <c r="D3" s="89"/>
      <c r="E3" s="86" t="s">
        <v>68</v>
      </c>
      <c r="F3" s="87" t="s">
        <v>467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/>
      <c r="D5" s="89"/>
      <c r="E5" s="86"/>
      <c r="F5" s="93"/>
      <c r="G5" s="92"/>
      <c r="H5" s="81"/>
      <c r="I5" s="23"/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4"/>
    </row>
    <row r="7" spans="1:11" s="150" customFormat="1">
      <c r="A7" s="98">
        <v>1</v>
      </c>
      <c r="B7" s="98"/>
      <c r="C7" s="150">
        <v>519</v>
      </c>
      <c r="D7" s="151">
        <v>46004</v>
      </c>
      <c r="E7" s="150" t="s">
        <v>1151</v>
      </c>
      <c r="F7" s="150">
        <v>2720000</v>
      </c>
      <c r="G7" s="152">
        <v>3960</v>
      </c>
      <c r="H7" s="98" t="s">
        <v>75</v>
      </c>
      <c r="I7" s="98"/>
      <c r="J7" s="102"/>
      <c r="K7" s="17"/>
    </row>
    <row r="8" spans="1:11">
      <c r="A8" s="153">
        <v>2</v>
      </c>
      <c r="B8" s="153"/>
      <c r="C8" s="153">
        <v>559</v>
      </c>
      <c r="D8" s="154">
        <v>46011</v>
      </c>
      <c r="E8" s="155" t="s">
        <v>1150</v>
      </c>
      <c r="F8" s="156"/>
      <c r="G8" s="157">
        <v>1000</v>
      </c>
      <c r="H8" s="153" t="s">
        <v>75</v>
      </c>
      <c r="I8" s="153"/>
      <c r="J8" s="158"/>
      <c r="K8" s="159"/>
    </row>
    <row r="9" spans="1:11">
      <c r="A9" s="98">
        <v>3</v>
      </c>
      <c r="B9" s="98"/>
      <c r="C9" s="98">
        <v>668</v>
      </c>
      <c r="D9" s="135">
        <v>46082</v>
      </c>
      <c r="E9" s="99" t="s">
        <v>1164</v>
      </c>
      <c r="F9" s="100">
        <v>640000</v>
      </c>
      <c r="G9" s="101"/>
      <c r="H9" s="98" t="s">
        <v>75</v>
      </c>
      <c r="I9" s="98"/>
      <c r="J9" s="102"/>
      <c r="K9" s="17"/>
    </row>
    <row r="10" spans="1:11">
      <c r="A10" s="98">
        <v>4</v>
      </c>
      <c r="B10" s="98"/>
      <c r="C10" s="17">
        <v>1428</v>
      </c>
      <c r="D10" s="17" t="s">
        <v>1286</v>
      </c>
      <c r="E10" s="18" t="s">
        <v>1291</v>
      </c>
      <c r="F10" s="132">
        <v>260000</v>
      </c>
      <c r="G10" s="25"/>
      <c r="H10" s="17" t="s">
        <v>75</v>
      </c>
      <c r="I10" s="98"/>
      <c r="J10" s="102"/>
      <c r="K10" s="17"/>
    </row>
    <row r="11" spans="1:11">
      <c r="A11" s="98">
        <v>5</v>
      </c>
      <c r="B11" s="98"/>
      <c r="C11" s="98"/>
      <c r="D11" s="98"/>
      <c r="E11" s="99"/>
      <c r="F11" s="100"/>
      <c r="G11" s="101"/>
      <c r="H11" s="98"/>
      <c r="I11" s="98"/>
      <c r="J11" s="102"/>
      <c r="K11" s="17"/>
    </row>
    <row r="12" spans="1:11">
      <c r="A12" s="98">
        <v>6</v>
      </c>
      <c r="B12" s="98"/>
      <c r="C12" s="98"/>
      <c r="D12" s="98"/>
      <c r="E12" s="99"/>
      <c r="F12" s="100"/>
      <c r="G12" s="101"/>
      <c r="H12" s="98"/>
      <c r="I12" s="98"/>
      <c r="J12" s="102"/>
      <c r="K12" s="17"/>
    </row>
    <row r="13" spans="1:11">
      <c r="A13" s="98">
        <v>7</v>
      </c>
      <c r="B13" s="98"/>
      <c r="C13" s="98"/>
      <c r="D13" s="98"/>
      <c r="E13" s="99"/>
      <c r="F13" s="100"/>
      <c r="G13" s="101"/>
      <c r="H13" s="98"/>
      <c r="I13" s="98"/>
      <c r="J13" s="102"/>
      <c r="K13" s="17"/>
    </row>
    <row r="14" spans="1:11">
      <c r="A14" s="98">
        <v>8</v>
      </c>
      <c r="B14" s="98"/>
      <c r="C14" s="98"/>
      <c r="D14" s="98"/>
      <c r="E14" s="99"/>
      <c r="F14" s="100"/>
      <c r="G14" s="101"/>
      <c r="H14" s="98"/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00"/>
      <c r="G15" s="101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00"/>
      <c r="G16" s="101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00"/>
      <c r="G17" s="101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00"/>
      <c r="G18" s="101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00"/>
      <c r="G19" s="101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00"/>
      <c r="G20" s="101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103"/>
      <c r="B35" s="206" t="s">
        <v>98</v>
      </c>
      <c r="C35" s="206"/>
      <c r="D35" s="103"/>
      <c r="E35" s="104"/>
      <c r="F35" s="105">
        <f>SUM(F7:F34)</f>
        <v>3620000</v>
      </c>
      <c r="G35" s="106">
        <f>SUM(G7:G34)</f>
        <v>4960</v>
      </c>
      <c r="H35" s="103"/>
      <c r="I35" s="103"/>
      <c r="J35" s="107"/>
      <c r="K35" s="108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56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4" width="12.77734375" style="1" bestFit="1" customWidth="1"/>
    <col min="5" max="5" width="91.33203125" style="73" bestFit="1" customWidth="1"/>
    <col min="6" max="6" width="16.3320312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82</v>
      </c>
      <c r="B2" s="202" t="s">
        <v>56</v>
      </c>
      <c r="C2" s="203"/>
      <c r="D2" s="138"/>
      <c r="E2" s="86" t="s">
        <v>8</v>
      </c>
      <c r="F2" s="87">
        <v>2014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933</v>
      </c>
      <c r="D3" s="35"/>
      <c r="E3" s="86" t="s">
        <v>68</v>
      </c>
      <c r="F3" s="87" t="s">
        <v>468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0" customHeight="1">
      <c r="A7" s="98">
        <v>1</v>
      </c>
      <c r="B7" s="98"/>
      <c r="C7" s="98">
        <v>4984</v>
      </c>
      <c r="D7" s="98" t="s">
        <v>302</v>
      </c>
      <c r="E7" s="99" t="s">
        <v>448</v>
      </c>
      <c r="F7" s="100">
        <v>7370000</v>
      </c>
      <c r="G7" s="101"/>
      <c r="H7" s="98" t="s">
        <v>75</v>
      </c>
      <c r="I7" s="98"/>
      <c r="J7" s="102"/>
      <c r="K7" s="17"/>
    </row>
    <row r="8" spans="1:11">
      <c r="A8" s="98">
        <v>2</v>
      </c>
      <c r="B8" s="98"/>
      <c r="C8" s="17">
        <v>7272</v>
      </c>
      <c r="D8" s="130">
        <v>45599</v>
      </c>
      <c r="E8" s="131" t="s">
        <v>611</v>
      </c>
      <c r="F8" s="132">
        <v>30000</v>
      </c>
      <c r="G8" s="116"/>
      <c r="H8" s="17" t="s">
        <v>75</v>
      </c>
      <c r="I8" s="98"/>
      <c r="J8" s="102"/>
      <c r="K8" s="17"/>
    </row>
    <row r="9" spans="1:11">
      <c r="A9" s="98">
        <v>3</v>
      </c>
      <c r="B9" s="98"/>
      <c r="C9" s="17">
        <v>7272</v>
      </c>
      <c r="D9" s="130">
        <v>45599</v>
      </c>
      <c r="E9" s="131" t="s">
        <v>612</v>
      </c>
      <c r="F9" s="132">
        <v>276000</v>
      </c>
      <c r="G9" s="116"/>
      <c r="H9" s="17" t="s">
        <v>75</v>
      </c>
      <c r="I9" s="98"/>
      <c r="J9" s="102"/>
      <c r="K9" s="17"/>
    </row>
    <row r="10" spans="1:11">
      <c r="A10" s="98">
        <v>4</v>
      </c>
      <c r="B10" s="98"/>
      <c r="C10" s="17">
        <v>7430</v>
      </c>
      <c r="D10" s="130">
        <v>45631</v>
      </c>
      <c r="E10" s="18" t="s">
        <v>618</v>
      </c>
      <c r="F10" s="24">
        <v>945000</v>
      </c>
      <c r="G10" s="116"/>
      <c r="H10" s="17" t="s">
        <v>75</v>
      </c>
      <c r="I10" s="98"/>
      <c r="J10" s="102"/>
      <c r="K10" s="17"/>
    </row>
    <row r="11" spans="1:11">
      <c r="A11" s="98">
        <v>5</v>
      </c>
      <c r="B11" s="98"/>
      <c r="C11" s="17">
        <v>7580</v>
      </c>
      <c r="D11" s="130">
        <v>45649</v>
      </c>
      <c r="E11" s="18" t="s">
        <v>648</v>
      </c>
      <c r="F11" s="132">
        <v>2325000</v>
      </c>
      <c r="G11" s="25"/>
      <c r="H11" s="17" t="s">
        <v>75</v>
      </c>
      <c r="I11" s="98"/>
      <c r="J11" s="102"/>
      <c r="K11" s="17"/>
    </row>
    <row r="12" spans="1:11">
      <c r="A12" s="98">
        <v>6</v>
      </c>
      <c r="B12" s="98"/>
      <c r="C12" s="18">
        <v>8981</v>
      </c>
      <c r="D12" s="133">
        <v>45813</v>
      </c>
      <c r="E12" s="18" t="s">
        <v>788</v>
      </c>
      <c r="F12" s="134">
        <v>972000</v>
      </c>
      <c r="G12" s="116"/>
      <c r="H12" s="17" t="s">
        <v>75</v>
      </c>
      <c r="I12" s="98"/>
      <c r="J12" s="102"/>
      <c r="K12" s="17"/>
    </row>
    <row r="13" spans="1:11">
      <c r="A13" s="98">
        <v>7</v>
      </c>
      <c r="B13" s="98"/>
      <c r="C13" s="98">
        <v>303</v>
      </c>
      <c r="D13" s="135">
        <v>45977</v>
      </c>
      <c r="E13" s="99" t="s">
        <v>1106</v>
      </c>
      <c r="F13" s="100">
        <v>150000</v>
      </c>
      <c r="G13" s="101"/>
      <c r="H13" s="98" t="s">
        <v>75</v>
      </c>
      <c r="I13" s="98"/>
      <c r="J13" s="102"/>
      <c r="K13" s="17"/>
    </row>
    <row r="14" spans="1:11" ht="30" customHeight="1">
      <c r="A14" s="98">
        <v>8</v>
      </c>
      <c r="B14" s="98"/>
      <c r="C14" s="98">
        <v>343</v>
      </c>
      <c r="D14" s="135">
        <v>45983</v>
      </c>
      <c r="E14" s="99" t="s">
        <v>1111</v>
      </c>
      <c r="F14" s="100">
        <v>710000</v>
      </c>
      <c r="G14" s="101"/>
      <c r="H14" s="98" t="s">
        <v>75</v>
      </c>
      <c r="I14" s="98"/>
      <c r="J14" s="102"/>
      <c r="K14" s="17"/>
    </row>
    <row r="15" spans="1:11">
      <c r="A15" s="98">
        <v>9</v>
      </c>
      <c r="B15" s="98"/>
      <c r="C15" s="17">
        <v>615</v>
      </c>
      <c r="D15" s="130">
        <v>46018</v>
      </c>
      <c r="E15" s="18" t="s">
        <v>1142</v>
      </c>
      <c r="F15" s="132">
        <v>10000</v>
      </c>
      <c r="G15" s="25"/>
      <c r="H15" s="117" t="s">
        <v>75</v>
      </c>
      <c r="I15" s="98"/>
      <c r="J15" s="102"/>
      <c r="K15" s="17"/>
    </row>
    <row r="16" spans="1:11" ht="26.4" customHeight="1">
      <c r="A16" s="98">
        <v>10</v>
      </c>
      <c r="B16" s="98"/>
      <c r="C16" s="98">
        <v>668</v>
      </c>
      <c r="D16" s="135">
        <v>46082</v>
      </c>
      <c r="E16" s="99" t="s">
        <v>1154</v>
      </c>
      <c r="F16" s="100">
        <v>565000</v>
      </c>
      <c r="G16" s="101"/>
      <c r="H16" s="98" t="s">
        <v>75</v>
      </c>
      <c r="I16" s="98"/>
      <c r="J16" s="102"/>
      <c r="K16" s="17"/>
    </row>
    <row r="17" spans="1:11">
      <c r="A17" s="98">
        <v>11</v>
      </c>
      <c r="B17" s="98"/>
      <c r="C17" s="98">
        <v>794</v>
      </c>
      <c r="D17" s="98" t="s">
        <v>1178</v>
      </c>
      <c r="E17" s="99" t="s">
        <v>1183</v>
      </c>
      <c r="F17" s="100">
        <v>1470000</v>
      </c>
      <c r="G17" s="101"/>
      <c r="H17" s="98" t="s">
        <v>75</v>
      </c>
      <c r="I17" s="98"/>
      <c r="J17" s="102"/>
      <c r="K17" s="17"/>
    </row>
    <row r="18" spans="1:11" ht="25.95" customHeight="1">
      <c r="A18" s="98">
        <v>12</v>
      </c>
      <c r="B18" s="98"/>
      <c r="C18" s="17">
        <v>883</v>
      </c>
      <c r="D18" s="17" t="s">
        <v>1191</v>
      </c>
      <c r="E18" s="18" t="s">
        <v>1194</v>
      </c>
      <c r="F18" s="132">
        <v>1564000</v>
      </c>
      <c r="G18" s="116"/>
      <c r="H18" s="17" t="s">
        <v>75</v>
      </c>
      <c r="I18" s="98"/>
      <c r="J18" s="102"/>
      <c r="K18" s="17"/>
    </row>
    <row r="19" spans="1:11" ht="37.950000000000003" customHeight="1">
      <c r="A19" s="98">
        <v>13</v>
      </c>
      <c r="B19" s="98"/>
      <c r="C19" s="17">
        <v>960</v>
      </c>
      <c r="D19" s="130">
        <v>46358</v>
      </c>
      <c r="E19" s="18" t="s">
        <v>1207</v>
      </c>
      <c r="F19" s="132">
        <v>4470000</v>
      </c>
      <c r="G19" s="25"/>
      <c r="H19" s="117" t="s">
        <v>75</v>
      </c>
      <c r="I19" s="98"/>
      <c r="J19" s="102"/>
      <c r="K19" s="17"/>
    </row>
    <row r="20" spans="1:11">
      <c r="A20" s="98">
        <v>14</v>
      </c>
      <c r="B20" s="98"/>
      <c r="C20" s="98">
        <v>1093</v>
      </c>
      <c r="D20" s="135">
        <v>46086</v>
      </c>
      <c r="E20" s="99" t="s">
        <v>1235</v>
      </c>
      <c r="F20" s="100">
        <v>400000</v>
      </c>
      <c r="G20" s="101"/>
      <c r="H20" s="98" t="s">
        <v>75</v>
      </c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103"/>
      <c r="B26" s="206" t="s">
        <v>98</v>
      </c>
      <c r="C26" s="206"/>
      <c r="D26" s="103"/>
      <c r="E26" s="104"/>
      <c r="F26" s="105">
        <f>SUM(F7:F25)</f>
        <v>21257000</v>
      </c>
      <c r="G26" s="106">
        <f>SUM(G7:G25)</f>
        <v>0</v>
      </c>
      <c r="H26" s="103"/>
      <c r="I26" s="103"/>
      <c r="J26" s="107"/>
      <c r="K26" s="108"/>
    </row>
    <row r="27" spans="1:11">
      <c r="A27" s="109"/>
      <c r="B27" s="109"/>
      <c r="C27" s="109"/>
      <c r="D27" s="109"/>
      <c r="E27" s="110"/>
      <c r="F27" s="111"/>
      <c r="G27" s="112"/>
      <c r="H27" s="109"/>
      <c r="I27" s="109"/>
      <c r="J27" s="113"/>
    </row>
    <row r="28" spans="1:11">
      <c r="A28" s="109"/>
      <c r="B28" s="109"/>
      <c r="C28" s="109"/>
      <c r="D28" s="109"/>
      <c r="E28" s="110"/>
      <c r="F28" s="111"/>
      <c r="G28" s="112"/>
      <c r="H28" s="109"/>
      <c r="I28" s="109"/>
      <c r="J28" s="113"/>
    </row>
    <row r="29" spans="1:11">
      <c r="A29" s="109"/>
      <c r="B29" s="109"/>
      <c r="C29" s="109"/>
      <c r="D29" s="109"/>
      <c r="E29" s="110"/>
      <c r="F29" s="111"/>
      <c r="G29" s="112"/>
      <c r="H29" s="109"/>
      <c r="I29" s="109"/>
      <c r="J29" s="113"/>
    </row>
    <row r="30" spans="1:11">
      <c r="A30" s="109"/>
      <c r="B30" s="109"/>
      <c r="C30" s="109"/>
      <c r="D30" s="109"/>
      <c r="E30" s="110"/>
      <c r="F30" s="111"/>
      <c r="G30" s="112"/>
      <c r="H30" s="109"/>
      <c r="I30" s="109"/>
      <c r="J30" s="113"/>
    </row>
    <row r="31" spans="1:11">
      <c r="A31" s="109"/>
      <c r="B31" s="109"/>
      <c r="C31" s="109"/>
      <c r="D31" s="109"/>
      <c r="E31" s="110"/>
      <c r="F31" s="111"/>
      <c r="G31" s="112"/>
      <c r="H31" s="109"/>
      <c r="I31" s="109"/>
      <c r="J31" s="113"/>
    </row>
    <row r="32" spans="1:11">
      <c r="A32" s="109"/>
      <c r="B32" s="109"/>
      <c r="C32" s="109"/>
      <c r="D32" s="109"/>
      <c r="E32" s="110"/>
      <c r="F32" s="111"/>
      <c r="G32" s="112"/>
      <c r="H32" s="109"/>
      <c r="I32" s="109"/>
      <c r="J32" s="113"/>
    </row>
    <row r="33" spans="1:10">
      <c r="A33" s="109"/>
      <c r="B33" s="109"/>
      <c r="C33" s="109"/>
      <c r="D33" s="109"/>
      <c r="E33" s="110"/>
      <c r="F33" s="111"/>
      <c r="G33" s="112"/>
      <c r="H33" s="109"/>
      <c r="I33" s="109"/>
      <c r="J33" s="113"/>
    </row>
    <row r="34" spans="1:10">
      <c r="A34" s="109"/>
      <c r="B34" s="109"/>
      <c r="C34" s="109"/>
      <c r="D34" s="109"/>
      <c r="E34" s="110"/>
      <c r="F34" s="111"/>
      <c r="G34" s="112"/>
      <c r="H34" s="109"/>
      <c r="I34" s="109"/>
      <c r="J34" s="113"/>
    </row>
    <row r="35" spans="1:10">
      <c r="A35" s="109"/>
      <c r="B35" s="109"/>
      <c r="C35" s="109"/>
      <c r="D35" s="109"/>
      <c r="E35" s="110"/>
      <c r="F35" s="111"/>
      <c r="G35" s="112"/>
      <c r="H35" s="109"/>
      <c r="I35" s="109"/>
      <c r="J35" s="113"/>
    </row>
    <row r="36" spans="1:10">
      <c r="A36" s="109"/>
      <c r="B36" s="109"/>
      <c r="C36" s="109"/>
      <c r="D36" s="109"/>
      <c r="E36" s="110"/>
      <c r="F36" s="111"/>
      <c r="G36" s="112"/>
      <c r="H36" s="109"/>
      <c r="I36" s="109"/>
      <c r="J36" s="113"/>
    </row>
    <row r="37" spans="1:10">
      <c r="A37" s="109"/>
      <c r="B37" s="109"/>
      <c r="C37" s="109"/>
      <c r="D37" s="109"/>
      <c r="E37" s="110"/>
      <c r="F37" s="111"/>
      <c r="G37" s="112"/>
      <c r="H37" s="109"/>
      <c r="I37" s="109"/>
      <c r="J37" s="113"/>
    </row>
    <row r="38" spans="1:10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0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0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0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0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0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0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0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0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0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0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J61" s="115"/>
    </row>
    <row r="62" spans="1:10">
      <c r="J62" s="115"/>
    </row>
    <row r="63" spans="1:10">
      <c r="J63" s="115"/>
    </row>
    <row r="64" spans="1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6:C26"/>
  </mergeCells>
  <hyperlinks>
    <hyperlink ref="K2" location="الاليات!A1" display="الاليات " xr:uid="{00000000-0004-0000-5700-000000000000}"/>
  </hyperlinks>
  <pageMargins left="0.7" right="0.7" top="0.75" bottom="0.75" header="0.3" footer="0.3"/>
  <pageSetup paperSize="9" scale="64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FF0000"/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20.21875" style="1" bestFit="1" customWidth="1"/>
    <col min="4" max="4" width="4.5546875" style="1" bestFit="1" customWidth="1"/>
    <col min="5" max="5" width="11" style="73" bestFit="1" customWidth="1"/>
    <col min="6" max="6" width="8.2187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83</v>
      </c>
      <c r="B2" s="202" t="s">
        <v>41</v>
      </c>
      <c r="C2" s="203"/>
      <c r="D2" s="85"/>
      <c r="E2" s="86" t="s">
        <v>8</v>
      </c>
      <c r="F2" s="89">
        <v>2007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936</v>
      </c>
      <c r="D3" s="89"/>
      <c r="E3" s="86" t="s">
        <v>68</v>
      </c>
      <c r="F3" s="89" t="s">
        <v>937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/>
      <c r="D7" s="17"/>
      <c r="E7" s="18"/>
      <c r="F7" s="24"/>
      <c r="G7" s="116"/>
      <c r="H7" s="17"/>
      <c r="I7" s="17"/>
      <c r="J7" s="117"/>
      <c r="K7" s="17"/>
    </row>
    <row r="8" spans="1:11">
      <c r="A8" s="17">
        <v>2</v>
      </c>
      <c r="B8" s="17"/>
      <c r="C8" s="17"/>
      <c r="D8" s="17"/>
      <c r="E8" s="18"/>
      <c r="F8" s="24"/>
      <c r="G8" s="116"/>
      <c r="H8" s="17"/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24"/>
      <c r="G9" s="116"/>
      <c r="H9" s="17"/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24"/>
      <c r="G10" s="116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24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0</v>
      </c>
      <c r="G36" s="120">
        <f>SUM(G7:G35)</f>
        <v>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5800-000000000000}"/>
  </hyperlinks>
  <pageMargins left="0.7" right="0.7" top="0.75" bottom="0.75" header="0.3" footer="0.3"/>
  <pageSetup paperSize="9" scale="72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FF0000"/>
    <pageSetUpPr fitToPage="1"/>
  </sheetPr>
  <dimension ref="A1:K118"/>
  <sheetViews>
    <sheetView rightToLeft="1" view="pageBreakPreview" topLeftCell="A3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8.33203125" style="1" bestFit="1" customWidth="1"/>
    <col min="4" max="4" width="12.77734375" style="1" bestFit="1" customWidth="1"/>
    <col min="5" max="5" width="15.664062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84</v>
      </c>
      <c r="B2" s="202" t="s">
        <v>39</v>
      </c>
      <c r="C2" s="203"/>
      <c r="D2" s="85"/>
      <c r="E2" s="86" t="s">
        <v>8</v>
      </c>
      <c r="F2" s="91">
        <v>2019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938</v>
      </c>
      <c r="D3" s="89"/>
      <c r="E3" s="86" t="s">
        <v>68</v>
      </c>
      <c r="F3" s="91" t="s">
        <v>937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52.2">
      <c r="A7" s="17">
        <v>1</v>
      </c>
      <c r="B7" s="17" t="s">
        <v>184</v>
      </c>
      <c r="C7" s="17"/>
      <c r="D7" s="130">
        <v>44954</v>
      </c>
      <c r="E7" s="18" t="s">
        <v>219</v>
      </c>
      <c r="F7" s="132">
        <v>200000</v>
      </c>
      <c r="G7" s="25"/>
      <c r="H7" s="17" t="s">
        <v>123</v>
      </c>
      <c r="I7" s="17"/>
      <c r="J7" s="117"/>
      <c r="K7" s="17"/>
    </row>
    <row r="8" spans="1:11">
      <c r="A8" s="17">
        <v>2</v>
      </c>
      <c r="B8" s="17" t="s">
        <v>121</v>
      </c>
      <c r="C8" s="17"/>
      <c r="D8" s="130">
        <v>45241</v>
      </c>
      <c r="E8" s="18" t="s">
        <v>132</v>
      </c>
      <c r="F8" s="132">
        <v>35000</v>
      </c>
      <c r="G8" s="25"/>
      <c r="H8" s="17" t="s">
        <v>121</v>
      </c>
      <c r="I8" s="17"/>
      <c r="J8" s="117"/>
      <c r="K8" s="17"/>
    </row>
    <row r="9" spans="1:11">
      <c r="A9" s="17">
        <v>3</v>
      </c>
      <c r="B9" s="17"/>
      <c r="C9" s="17">
        <v>5488</v>
      </c>
      <c r="D9" s="17" t="s">
        <v>341</v>
      </c>
      <c r="E9" s="18" t="s">
        <v>135</v>
      </c>
      <c r="F9" s="132">
        <v>70000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5922</v>
      </c>
      <c r="D10" s="17" t="s">
        <v>391</v>
      </c>
      <c r="E10" s="18" t="s">
        <v>135</v>
      </c>
      <c r="F10" s="132">
        <v>1025000</v>
      </c>
      <c r="G10" s="25"/>
      <c r="H10" s="17" t="s">
        <v>75</v>
      </c>
      <c r="I10" s="17"/>
      <c r="J10" s="117"/>
      <c r="K10" s="17"/>
    </row>
    <row r="11" spans="1:11" ht="34.799999999999997">
      <c r="A11" s="17">
        <v>5</v>
      </c>
      <c r="B11" s="17"/>
      <c r="C11" s="17"/>
      <c r="D11" s="130">
        <v>45580</v>
      </c>
      <c r="E11" s="18" t="s">
        <v>592</v>
      </c>
      <c r="F11" s="132">
        <v>95000</v>
      </c>
      <c r="G11" s="25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08"/>
      <c r="B25" s="204" t="s">
        <v>98</v>
      </c>
      <c r="C25" s="204"/>
      <c r="D25" s="108"/>
      <c r="E25" s="118"/>
      <c r="F25" s="119">
        <f>SUM(F7:F24)</f>
        <v>1425000</v>
      </c>
      <c r="G25" s="120">
        <f>SUM(G7:G24)</f>
        <v>0</v>
      </c>
      <c r="H25" s="108"/>
      <c r="I25" s="108"/>
      <c r="J25" s="121"/>
      <c r="K25" s="108"/>
    </row>
    <row r="26" spans="1:11">
      <c r="J26" s="115"/>
    </row>
    <row r="27" spans="1:11">
      <c r="J27" s="115"/>
    </row>
    <row r="28" spans="1:11">
      <c r="J28" s="115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5:C25"/>
  </mergeCells>
  <hyperlinks>
    <hyperlink ref="K2" location="الاليات!A1" display="الاليات " xr:uid="{00000000-0004-0000-5900-000000000000}"/>
  </hyperlinks>
  <pageMargins left="0.7" right="0.7" top="0.75" bottom="0.75" header="0.3" footer="0.3"/>
  <pageSetup paperSize="9" scale="92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20.21875" style="1" bestFit="1" customWidth="1"/>
    <col min="4" max="4" width="12.77734375" style="1" bestFit="1" customWidth="1"/>
    <col min="5" max="5" width="12.5546875" style="73" bestFit="1" customWidth="1"/>
    <col min="6" max="6" width="13.33203125" style="114" bestFit="1" customWidth="1"/>
    <col min="7" max="7" width="6.21875" style="122" bestFit="1" customWidth="1"/>
    <col min="8" max="8" width="13.44140625" style="1" bestFit="1" customWidth="1"/>
    <col min="9" max="9" width="10.21875" style="1" bestFit="1" customWidth="1"/>
    <col min="10" max="10" width="5.664062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85</v>
      </c>
      <c r="B2" s="202" t="s">
        <v>40</v>
      </c>
      <c r="C2" s="203"/>
      <c r="D2" s="85"/>
      <c r="E2" s="86" t="s">
        <v>8</v>
      </c>
      <c r="F2" s="140">
        <v>2012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940</v>
      </c>
      <c r="D3" s="89"/>
      <c r="E3" s="86" t="s">
        <v>68</v>
      </c>
      <c r="F3" s="91" t="s">
        <v>937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81"/>
      <c r="H5" s="81"/>
      <c r="I5" s="117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4.799999999999997">
      <c r="A7" s="17">
        <v>1</v>
      </c>
      <c r="B7" s="17"/>
      <c r="C7" s="17"/>
      <c r="D7" s="130">
        <v>45580</v>
      </c>
      <c r="E7" s="18" t="s">
        <v>591</v>
      </c>
      <c r="F7" s="132">
        <v>125000</v>
      </c>
      <c r="G7" s="116"/>
      <c r="H7" s="17" t="s">
        <v>75</v>
      </c>
      <c r="I7" s="17"/>
      <c r="J7" s="23"/>
      <c r="K7" s="81"/>
    </row>
    <row r="8" spans="1:11">
      <c r="A8" s="17">
        <v>2</v>
      </c>
      <c r="B8" s="17"/>
      <c r="C8" s="17"/>
      <c r="D8" s="130"/>
      <c r="E8" s="18"/>
      <c r="F8" s="132"/>
      <c r="G8" s="116"/>
      <c r="H8" s="17"/>
      <c r="I8" s="17"/>
      <c r="J8" s="117"/>
      <c r="K8" s="17"/>
    </row>
    <row r="9" spans="1:11">
      <c r="A9" s="17">
        <v>3</v>
      </c>
      <c r="B9" s="18"/>
      <c r="C9" s="18"/>
      <c r="D9" s="18"/>
      <c r="E9" s="18"/>
      <c r="F9" s="134"/>
      <c r="G9" s="116"/>
      <c r="H9" s="17"/>
      <c r="I9" s="17"/>
      <c r="J9" s="117"/>
      <c r="K9" s="17"/>
    </row>
    <row r="10" spans="1:11">
      <c r="A10" s="17">
        <v>4</v>
      </c>
      <c r="B10" s="18"/>
      <c r="C10" s="18"/>
      <c r="D10" s="133"/>
      <c r="E10" s="18"/>
      <c r="F10" s="134"/>
      <c r="G10" s="116"/>
      <c r="H10" s="17"/>
      <c r="I10" s="17"/>
      <c r="J10" s="117"/>
      <c r="K10" s="17"/>
    </row>
    <row r="11" spans="1:11">
      <c r="A11" s="17">
        <v>5</v>
      </c>
      <c r="B11" s="18"/>
      <c r="C11" s="18"/>
      <c r="D11" s="133"/>
      <c r="E11" s="18"/>
      <c r="F11" s="134"/>
      <c r="G11" s="116"/>
      <c r="H11" s="17"/>
      <c r="I11" s="17"/>
      <c r="J11" s="117"/>
      <c r="K11" s="17"/>
    </row>
    <row r="12" spans="1:11">
      <c r="A12" s="17">
        <v>6</v>
      </c>
      <c r="B12" s="18"/>
      <c r="C12" s="18"/>
      <c r="D12" s="18"/>
      <c r="E12" s="18"/>
      <c r="F12" s="134"/>
      <c r="G12" s="116"/>
      <c r="H12" s="17"/>
      <c r="I12" s="17"/>
      <c r="J12" s="117"/>
      <c r="K12" s="17"/>
    </row>
    <row r="13" spans="1:11">
      <c r="A13" s="17">
        <v>7</v>
      </c>
      <c r="B13" s="147"/>
      <c r="C13" s="147"/>
      <c r="D13" s="148"/>
      <c r="E13" s="18"/>
      <c r="F13" s="13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116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116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125000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5A00-000000000000}"/>
  </hyperlinks>
  <pageMargins left="0.7" right="0.7" top="0.75" bottom="0.75" header="0.3" footer="0.3"/>
  <pageSetup paperSize="9" scale="68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FF0000"/>
  </sheetPr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8.6640625" style="1" bestFit="1" customWidth="1"/>
    <col min="3" max="3" width="12.77734375" style="1" bestFit="1" customWidth="1"/>
    <col min="4" max="4" width="4.5546875" style="1" bestFit="1" customWidth="1"/>
    <col min="5" max="5" width="11.109375" style="73" bestFit="1" customWidth="1"/>
    <col min="6" max="6" width="11" style="114" bestFit="1" customWidth="1"/>
    <col min="7" max="7" width="6.21875" style="79" bestFit="1" customWidth="1"/>
    <col min="8" max="8" width="13.44140625" style="1" bestFit="1" customWidth="1"/>
    <col min="9" max="9" width="10.21875" style="1" bestFit="1" customWidth="1"/>
    <col min="10" max="10" width="7.21875" style="1" bestFit="1" customWidth="1"/>
    <col min="11" max="11" width="9" style="1" bestFit="1" customWidth="1"/>
    <col min="12" max="16384" width="9.109375" style="1"/>
  </cols>
  <sheetData>
    <row r="1" spans="1:11">
      <c r="A1" s="216" t="s">
        <v>10</v>
      </c>
      <c r="B1" s="217"/>
      <c r="C1" s="217"/>
      <c r="D1" s="217"/>
      <c r="E1" s="217"/>
      <c r="F1" s="217"/>
      <c r="G1" s="217"/>
      <c r="H1" s="217"/>
      <c r="I1" s="217"/>
      <c r="J1" s="217"/>
      <c r="K1" s="218"/>
    </row>
    <row r="2" spans="1:11" ht="52.2">
      <c r="A2" s="35">
        <v>86</v>
      </c>
      <c r="B2" s="202" t="s">
        <v>172</v>
      </c>
      <c r="C2" s="203"/>
      <c r="D2" s="146"/>
      <c r="E2" s="86" t="s">
        <v>8</v>
      </c>
      <c r="F2" s="87">
        <v>2019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89</v>
      </c>
      <c r="D3" s="89"/>
      <c r="E3" s="86" t="s">
        <v>68</v>
      </c>
      <c r="F3" s="91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/>
      <c r="D7" s="17"/>
      <c r="E7" s="18"/>
      <c r="F7" s="132"/>
      <c r="G7" s="25"/>
      <c r="H7" s="17"/>
      <c r="I7" s="17"/>
      <c r="J7" s="117"/>
      <c r="K7" s="17"/>
    </row>
    <row r="8" spans="1:11">
      <c r="A8" s="17">
        <v>2</v>
      </c>
      <c r="B8" s="17"/>
      <c r="C8" s="17"/>
      <c r="D8" s="17"/>
      <c r="E8" s="18"/>
      <c r="F8" s="132"/>
      <c r="G8" s="25"/>
      <c r="H8" s="17"/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132"/>
      <c r="G9" s="25"/>
      <c r="H9" s="17"/>
      <c r="I9" s="17"/>
      <c r="J9" s="117"/>
      <c r="K9" s="17"/>
    </row>
    <row r="10" spans="1:11">
      <c r="A10" s="17">
        <v>4</v>
      </c>
      <c r="B10" s="17"/>
      <c r="C10" s="17"/>
      <c r="D10" s="130"/>
      <c r="E10" s="18"/>
      <c r="F10" s="132"/>
      <c r="G10" s="25"/>
      <c r="H10" s="17"/>
      <c r="I10" s="17"/>
      <c r="J10" s="117"/>
      <c r="K10" s="17"/>
    </row>
    <row r="11" spans="1:11">
      <c r="A11" s="17">
        <v>5</v>
      </c>
      <c r="B11" s="17"/>
      <c r="C11" s="17"/>
      <c r="D11" s="130"/>
      <c r="E11" s="18"/>
      <c r="F11" s="132"/>
      <c r="G11" s="25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08"/>
      <c r="B35" s="212" t="s">
        <v>98</v>
      </c>
      <c r="C35" s="213"/>
      <c r="D35" s="108"/>
      <c r="E35" s="118"/>
      <c r="F35" s="119">
        <f>SUM(F7:F34)</f>
        <v>0</v>
      </c>
      <c r="G35" s="120">
        <f>SUM(G7:G34)</f>
        <v>0</v>
      </c>
      <c r="H35" s="108"/>
      <c r="I35" s="108"/>
      <c r="J35" s="121"/>
      <c r="K35" s="108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5B00-000000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K118"/>
  <sheetViews>
    <sheetView rightToLeft="1" topLeftCell="A2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8.77734375" style="1" bestFit="1" customWidth="1"/>
    <col min="3" max="4" width="12.77734375" style="1" bestFit="1" customWidth="1"/>
    <col min="5" max="5" width="13.4414062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8.5546875" style="1" bestFit="1" customWidth="1"/>
    <col min="12" max="16384" width="9.109375" style="1"/>
  </cols>
  <sheetData>
    <row r="1" spans="1:11">
      <c r="A1" s="216" t="s">
        <v>10</v>
      </c>
      <c r="B1" s="217"/>
      <c r="C1" s="217"/>
      <c r="D1" s="217"/>
      <c r="E1" s="217"/>
      <c r="F1" s="217"/>
      <c r="G1" s="217"/>
      <c r="H1" s="217"/>
      <c r="I1" s="217"/>
      <c r="J1" s="217"/>
      <c r="K1" s="218"/>
    </row>
    <row r="2" spans="1:11" ht="69.599999999999994">
      <c r="A2" s="35">
        <v>87</v>
      </c>
      <c r="B2" s="207" t="s">
        <v>941</v>
      </c>
      <c r="C2" s="203"/>
      <c r="D2" s="81"/>
      <c r="E2" s="86" t="s">
        <v>8</v>
      </c>
      <c r="F2" s="87">
        <v>2019</v>
      </c>
      <c r="G2" s="88"/>
      <c r="H2" s="89" t="s">
        <v>100</v>
      </c>
      <c r="J2" s="81"/>
      <c r="K2" s="90" t="s">
        <v>102</v>
      </c>
    </row>
    <row r="3" spans="1:11">
      <c r="A3" s="35"/>
      <c r="B3" s="89" t="s">
        <v>99</v>
      </c>
      <c r="C3" s="17"/>
      <c r="D3" s="89"/>
      <c r="E3" s="86" t="s">
        <v>68</v>
      </c>
      <c r="F3" s="91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ht="45.75" customHeight="1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4.799999999999997">
      <c r="A7" s="17">
        <v>1</v>
      </c>
      <c r="B7" s="17"/>
      <c r="C7" s="17">
        <v>4881</v>
      </c>
      <c r="D7" s="130">
        <v>45082</v>
      </c>
      <c r="E7" s="18" t="s">
        <v>299</v>
      </c>
      <c r="F7" s="132">
        <v>610000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5792</v>
      </c>
      <c r="D8" s="17" t="s">
        <v>373</v>
      </c>
      <c r="E8" s="18" t="s">
        <v>135</v>
      </c>
      <c r="F8" s="132">
        <v>465000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132"/>
      <c r="G9" s="25"/>
      <c r="H9" s="17"/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132"/>
      <c r="G10" s="25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132"/>
      <c r="G11" s="25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08"/>
      <c r="B28" s="212" t="s">
        <v>98</v>
      </c>
      <c r="C28" s="213"/>
      <c r="D28" s="108"/>
      <c r="E28" s="118"/>
      <c r="F28" s="119">
        <f>SUM(F7:F27)</f>
        <v>1075000</v>
      </c>
      <c r="G28" s="120">
        <f>SUM(G7:G27)</f>
        <v>0</v>
      </c>
      <c r="H28" s="108"/>
      <c r="I28" s="108"/>
      <c r="J28" s="121"/>
      <c r="K28" s="108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8:C28"/>
  </mergeCells>
  <hyperlinks>
    <hyperlink ref="K2" location="الاليات!A1" display="الاليات " xr:uid="{00000000-0004-0000-5C00-000000000000}"/>
  </hyperlinks>
  <pageMargins left="0.7" right="0.7" top="0.75" bottom="0.75" header="0.3" footer="0.3"/>
  <pageSetup paperSize="9" orientation="portrait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4.88671875" style="1" bestFit="1" customWidth="1"/>
    <col min="4" max="4" width="12.77734375" style="1" bestFit="1" customWidth="1"/>
    <col min="5" max="5" width="50.3320312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88</v>
      </c>
      <c r="B2" s="202" t="s">
        <v>31</v>
      </c>
      <c r="C2" s="203"/>
      <c r="D2" s="85"/>
      <c r="E2" s="86" t="s">
        <v>8</v>
      </c>
      <c r="F2" s="87">
        <v>2002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943</v>
      </c>
      <c r="D3" s="89"/>
      <c r="E3" s="86" t="s">
        <v>68</v>
      </c>
      <c r="F3" s="140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8"/>
      <c r="C7" s="18"/>
      <c r="D7" s="133">
        <v>45580</v>
      </c>
      <c r="E7" s="18" t="s">
        <v>593</v>
      </c>
      <c r="F7" s="134">
        <v>329000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7272</v>
      </c>
      <c r="D8" s="130">
        <v>45599</v>
      </c>
      <c r="E8" s="131" t="s">
        <v>613</v>
      </c>
      <c r="F8" s="132">
        <v>195000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8062</v>
      </c>
      <c r="D9" s="130">
        <v>45739</v>
      </c>
      <c r="E9" s="18" t="s">
        <v>733</v>
      </c>
      <c r="F9" s="24">
        <v>395000</v>
      </c>
      <c r="G9" s="116"/>
      <c r="H9" s="17" t="s">
        <v>75</v>
      </c>
      <c r="I9" s="17"/>
      <c r="J9" s="117"/>
      <c r="K9" s="17"/>
    </row>
    <row r="10" spans="1:11" ht="36.75" customHeight="1">
      <c r="A10" s="17">
        <v>4</v>
      </c>
      <c r="B10" s="17"/>
      <c r="C10" s="99">
        <v>8806</v>
      </c>
      <c r="D10" s="136">
        <v>45791</v>
      </c>
      <c r="E10" s="99" t="s">
        <v>776</v>
      </c>
      <c r="F10" s="137">
        <v>1747000</v>
      </c>
      <c r="G10" s="127"/>
      <c r="H10" s="98" t="s">
        <v>75</v>
      </c>
      <c r="I10" s="17"/>
      <c r="J10" s="117"/>
      <c r="K10" s="17"/>
    </row>
    <row r="11" spans="1:11">
      <c r="A11" s="17">
        <v>5</v>
      </c>
      <c r="B11" s="17"/>
      <c r="C11" s="17">
        <v>8850</v>
      </c>
      <c r="D11" s="130">
        <v>45798</v>
      </c>
      <c r="E11" s="18" t="s">
        <v>591</v>
      </c>
      <c r="F11" s="132">
        <v>100000</v>
      </c>
      <c r="G11" s="25"/>
      <c r="H11" s="98" t="s">
        <v>75</v>
      </c>
      <c r="I11" s="17"/>
      <c r="J11" s="117"/>
      <c r="K11" s="17"/>
    </row>
    <row r="12" spans="1:11">
      <c r="A12" s="17">
        <v>6</v>
      </c>
      <c r="B12" s="17"/>
      <c r="C12" s="17">
        <v>9087</v>
      </c>
      <c r="D12" s="130">
        <v>45836</v>
      </c>
      <c r="E12" s="18" t="s">
        <v>796</v>
      </c>
      <c r="F12" s="24">
        <v>85000</v>
      </c>
      <c r="G12" s="116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98">
        <v>9738</v>
      </c>
      <c r="D13" s="135">
        <v>45913</v>
      </c>
      <c r="E13" s="99" t="s">
        <v>618</v>
      </c>
      <c r="F13" s="100">
        <v>310000</v>
      </c>
      <c r="G13" s="101"/>
      <c r="H13" s="98" t="s">
        <v>75</v>
      </c>
      <c r="I13" s="17"/>
      <c r="J13" s="117"/>
      <c r="K13" s="17"/>
    </row>
    <row r="14" spans="1:11">
      <c r="A14" s="17">
        <v>8</v>
      </c>
      <c r="B14" s="17"/>
      <c r="C14" s="17">
        <v>101</v>
      </c>
      <c r="D14" s="130" t="s">
        <v>1062</v>
      </c>
      <c r="E14" s="18" t="s">
        <v>1071</v>
      </c>
      <c r="F14" s="132">
        <v>210000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7">
        <v>519</v>
      </c>
      <c r="D15" s="130">
        <v>46004</v>
      </c>
      <c r="E15" s="18" t="s">
        <v>1124</v>
      </c>
      <c r="F15" s="132">
        <v>375000</v>
      </c>
      <c r="G15" s="25"/>
      <c r="H15" s="17" t="s">
        <v>75</v>
      </c>
      <c r="I15" s="17"/>
      <c r="J15" s="117"/>
      <c r="K15" s="17"/>
    </row>
    <row r="16" spans="1:11">
      <c r="A16" s="17">
        <v>10</v>
      </c>
      <c r="B16" s="17"/>
      <c r="C16" s="17">
        <v>559</v>
      </c>
      <c r="D16" s="130">
        <v>46011</v>
      </c>
      <c r="E16" s="18" t="s">
        <v>1131</v>
      </c>
      <c r="F16" s="132">
        <v>1061000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17">
        <v>1158</v>
      </c>
      <c r="D17" s="17" t="s">
        <v>1241</v>
      </c>
      <c r="E17" s="18" t="s">
        <v>591</v>
      </c>
      <c r="F17" s="132">
        <v>100000</v>
      </c>
      <c r="G17" s="116"/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4907000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5D00-000000000000}"/>
  </hyperlinks>
  <pageMargins left="0.7" right="0.7" top="0.75" bottom="0.75" header="0.3" footer="0.3"/>
  <pageSetup paperSize="9" scale="68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4" width="12.77734375" style="1" bestFit="1" customWidth="1"/>
    <col min="5" max="5" width="17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89</v>
      </c>
      <c r="B2" s="202" t="s">
        <v>36</v>
      </c>
      <c r="C2" s="203"/>
      <c r="D2" s="85"/>
      <c r="E2" s="86" t="s">
        <v>8</v>
      </c>
      <c r="F2" s="87">
        <v>2012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944</v>
      </c>
      <c r="D3" s="89"/>
      <c r="E3" s="86" t="s">
        <v>68</v>
      </c>
      <c r="F3" s="87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4266</v>
      </c>
      <c r="D7" s="130">
        <v>45047</v>
      </c>
      <c r="E7" s="18" t="s">
        <v>126</v>
      </c>
      <c r="F7" s="132">
        <v>70000</v>
      </c>
      <c r="G7" s="25"/>
      <c r="H7" s="17" t="s">
        <v>75</v>
      </c>
      <c r="I7" s="17"/>
      <c r="J7" s="117"/>
      <c r="K7" s="17"/>
    </row>
    <row r="8" spans="1:11" ht="34.799999999999997">
      <c r="A8" s="17">
        <v>2</v>
      </c>
      <c r="B8" s="17" t="s">
        <v>121</v>
      </c>
      <c r="C8" s="17"/>
      <c r="D8" s="130">
        <v>45130</v>
      </c>
      <c r="E8" s="18" t="s">
        <v>239</v>
      </c>
      <c r="F8" s="132">
        <v>1250000</v>
      </c>
      <c r="G8" s="25"/>
      <c r="H8" s="17" t="s">
        <v>121</v>
      </c>
      <c r="I8" s="17"/>
      <c r="J8" s="117"/>
      <c r="K8" s="17"/>
    </row>
    <row r="9" spans="1:11">
      <c r="A9" s="17">
        <v>3</v>
      </c>
      <c r="B9" s="17"/>
      <c r="C9" s="17">
        <v>5365</v>
      </c>
      <c r="D9" s="130">
        <v>45268</v>
      </c>
      <c r="E9" s="18" t="s">
        <v>135</v>
      </c>
      <c r="F9" s="132">
        <v>180000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>
        <v>5365</v>
      </c>
      <c r="D10" s="130">
        <v>45268</v>
      </c>
      <c r="E10" s="18" t="s">
        <v>135</v>
      </c>
      <c r="F10" s="132">
        <v>450000</v>
      </c>
      <c r="G10" s="25">
        <v>780</v>
      </c>
      <c r="H10" s="17" t="s">
        <v>75</v>
      </c>
      <c r="I10" s="17"/>
      <c r="J10" s="117"/>
      <c r="K10" s="17"/>
    </row>
    <row r="11" spans="1:11" ht="52.2">
      <c r="A11" s="17">
        <v>5</v>
      </c>
      <c r="B11" s="17"/>
      <c r="C11" s="17">
        <v>7272</v>
      </c>
      <c r="D11" s="130">
        <v>45599</v>
      </c>
      <c r="E11" s="131" t="s">
        <v>605</v>
      </c>
      <c r="F11" s="132">
        <v>80000</v>
      </c>
      <c r="G11" s="116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>
        <v>7272</v>
      </c>
      <c r="D12" s="130">
        <v>45599</v>
      </c>
      <c r="E12" s="131" t="s">
        <v>610</v>
      </c>
      <c r="F12" s="132">
        <v>85000</v>
      </c>
      <c r="G12" s="116"/>
      <c r="H12" s="17" t="s">
        <v>75</v>
      </c>
      <c r="I12" s="17"/>
      <c r="J12" s="117"/>
      <c r="K12" s="17"/>
    </row>
    <row r="13" spans="1:11">
      <c r="A13" s="17">
        <v>7</v>
      </c>
      <c r="B13" s="17"/>
      <c r="C13" s="17">
        <v>7882</v>
      </c>
      <c r="D13" s="130">
        <v>45705</v>
      </c>
      <c r="E13" s="18" t="s">
        <v>713</v>
      </c>
      <c r="F13" s="24">
        <v>40000</v>
      </c>
      <c r="G13" s="116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>
        <v>8152</v>
      </c>
      <c r="D14" s="130">
        <v>45760</v>
      </c>
      <c r="E14" s="18" t="s">
        <v>749</v>
      </c>
      <c r="F14" s="132">
        <v>45000</v>
      </c>
      <c r="G14" s="25"/>
      <c r="H14" s="117" t="s">
        <v>75</v>
      </c>
      <c r="I14" s="17"/>
      <c r="J14" s="117"/>
      <c r="K14" s="17"/>
    </row>
    <row r="15" spans="1:11">
      <c r="A15" s="17">
        <v>9</v>
      </c>
      <c r="B15" s="17"/>
      <c r="C15" s="17">
        <v>519</v>
      </c>
      <c r="D15" s="130">
        <v>46004</v>
      </c>
      <c r="E15" s="18" t="s">
        <v>1121</v>
      </c>
      <c r="F15" s="132">
        <v>110000</v>
      </c>
      <c r="G15" s="25"/>
      <c r="H15" s="17" t="s">
        <v>75</v>
      </c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08"/>
      <c r="B33" s="204" t="s">
        <v>98</v>
      </c>
      <c r="C33" s="204"/>
      <c r="D33" s="108"/>
      <c r="E33" s="118"/>
      <c r="F33" s="119">
        <f>SUM(F7:F32)</f>
        <v>2310000</v>
      </c>
      <c r="G33" s="120">
        <f>SUM(G7:G32)</f>
        <v>780</v>
      </c>
      <c r="H33" s="108"/>
      <c r="I33" s="108"/>
      <c r="J33" s="121"/>
      <c r="K33" s="108"/>
    </row>
    <row r="34" spans="1:11">
      <c r="J34" s="115"/>
    </row>
    <row r="35" spans="1:11">
      <c r="J35" s="115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3:C33"/>
  </mergeCells>
  <hyperlinks>
    <hyperlink ref="K2" location="الاليات!A1" display="الاليات " xr:uid="{00000000-0004-0000-5E00-000000000000}"/>
  </hyperlinks>
  <pageMargins left="0.7" right="0.7" top="0.75" bottom="0.75" header="0.3" footer="0.3"/>
  <pageSetup paperSize="9" scale="72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K118"/>
  <sheetViews>
    <sheetView rightToLeft="1" view="pageBreakPreview" topLeftCell="A8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5.33203125" style="1" bestFit="1" customWidth="1"/>
    <col min="3" max="3" width="14" style="1" bestFit="1" customWidth="1"/>
    <col min="4" max="4" width="11.5546875" style="1" bestFit="1" customWidth="1"/>
    <col min="5" max="5" width="19.664062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90</v>
      </c>
      <c r="B2" s="202" t="s">
        <v>38</v>
      </c>
      <c r="C2" s="203"/>
      <c r="D2" s="85"/>
      <c r="E2" s="86" t="s">
        <v>8</v>
      </c>
      <c r="F2" s="140">
        <v>2007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945</v>
      </c>
      <c r="D3" s="89"/>
      <c r="E3" s="86" t="s">
        <v>68</v>
      </c>
      <c r="F3" s="140" t="s">
        <v>826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4984</v>
      </c>
      <c r="D7" s="17" t="s">
        <v>302</v>
      </c>
      <c r="E7" s="18" t="s">
        <v>135</v>
      </c>
      <c r="F7" s="132">
        <v>150000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7272</v>
      </c>
      <c r="D8" s="130">
        <v>45599</v>
      </c>
      <c r="E8" s="131" t="s">
        <v>259</v>
      </c>
      <c r="F8" s="132">
        <v>835000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7272</v>
      </c>
      <c r="D9" s="130">
        <v>45599</v>
      </c>
      <c r="E9" s="131" t="s">
        <v>145</v>
      </c>
      <c r="F9" s="132">
        <v>130000</v>
      </c>
      <c r="G9" s="116"/>
      <c r="H9" s="17" t="s">
        <v>75</v>
      </c>
      <c r="I9" s="17"/>
      <c r="J9" s="117"/>
      <c r="K9" s="17"/>
    </row>
    <row r="10" spans="1:11">
      <c r="A10" s="17">
        <v>4</v>
      </c>
      <c r="B10" s="17"/>
      <c r="C10" s="98">
        <v>7717</v>
      </c>
      <c r="D10" s="135">
        <v>45676</v>
      </c>
      <c r="E10" s="99" t="s">
        <v>259</v>
      </c>
      <c r="F10" s="100">
        <v>450000</v>
      </c>
      <c r="G10" s="127"/>
      <c r="H10" s="98" t="s">
        <v>75</v>
      </c>
      <c r="I10" s="17"/>
      <c r="J10" s="117"/>
      <c r="K10" s="17"/>
    </row>
    <row r="11" spans="1:11" ht="69.599999999999994">
      <c r="A11" s="17">
        <v>5</v>
      </c>
      <c r="B11" s="17"/>
      <c r="C11" s="17">
        <v>8152</v>
      </c>
      <c r="D11" s="130">
        <v>45760</v>
      </c>
      <c r="E11" s="18" t="s">
        <v>756</v>
      </c>
      <c r="F11" s="132">
        <v>440000</v>
      </c>
      <c r="G11" s="25"/>
      <c r="H11" s="117" t="s">
        <v>75</v>
      </c>
      <c r="I11" s="17"/>
      <c r="J11" s="117"/>
      <c r="K11" s="17"/>
    </row>
    <row r="12" spans="1:11">
      <c r="A12" s="17">
        <v>6</v>
      </c>
      <c r="B12" s="17"/>
      <c r="C12" s="17">
        <v>8152</v>
      </c>
      <c r="D12" s="130">
        <v>45760</v>
      </c>
      <c r="E12" s="18" t="s">
        <v>758</v>
      </c>
      <c r="F12" s="132">
        <v>200000</v>
      </c>
      <c r="G12" s="25"/>
      <c r="H12" s="117" t="s">
        <v>75</v>
      </c>
      <c r="I12" s="17"/>
      <c r="J12" s="117"/>
      <c r="K12" s="17"/>
    </row>
    <row r="13" spans="1:11">
      <c r="A13" s="17">
        <v>7</v>
      </c>
      <c r="B13" s="17"/>
      <c r="C13" s="17">
        <v>8152</v>
      </c>
      <c r="D13" s="130">
        <v>45760</v>
      </c>
      <c r="E13" s="18" t="s">
        <v>759</v>
      </c>
      <c r="F13" s="132">
        <v>350000</v>
      </c>
      <c r="G13" s="25"/>
      <c r="H13" s="117" t="s">
        <v>75</v>
      </c>
      <c r="I13" s="17"/>
      <c r="J13" s="117"/>
      <c r="K13" s="17"/>
    </row>
    <row r="14" spans="1:11">
      <c r="A14" s="17">
        <v>8</v>
      </c>
      <c r="B14" s="17"/>
      <c r="C14" s="17">
        <v>9087</v>
      </c>
      <c r="D14" s="130">
        <v>45836</v>
      </c>
      <c r="E14" s="18" t="s">
        <v>618</v>
      </c>
      <c r="F14" s="24">
        <v>475000</v>
      </c>
      <c r="G14" s="116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3030000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5F00-000000000000}"/>
  </hyperlinks>
  <pageMargins left="0.7" right="0.7" top="0.75" bottom="0.75" header="0.3" footer="0.3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2.77734375" style="1" bestFit="1" customWidth="1"/>
    <col min="4" max="4" width="11.5546875" style="1" bestFit="1" customWidth="1"/>
    <col min="5" max="5" width="11" style="73" bestFit="1" customWidth="1"/>
    <col min="6" max="6" width="12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91</v>
      </c>
      <c r="B2" s="202" t="s">
        <v>45</v>
      </c>
      <c r="C2" s="203"/>
      <c r="D2" s="85"/>
      <c r="E2" s="86" t="s">
        <v>8</v>
      </c>
      <c r="F2" s="87">
        <v>2012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88</v>
      </c>
      <c r="D3" s="89"/>
      <c r="E3" s="86" t="s">
        <v>68</v>
      </c>
      <c r="F3" s="91" t="s">
        <v>94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5488</v>
      </c>
      <c r="D7" s="17" t="s">
        <v>341</v>
      </c>
      <c r="E7" s="18" t="s">
        <v>135</v>
      </c>
      <c r="F7" s="132">
        <v>80000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/>
      <c r="D8" s="17"/>
      <c r="E8" s="18"/>
      <c r="F8" s="132"/>
      <c r="G8" s="25"/>
      <c r="H8" s="17"/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132"/>
      <c r="G9" s="25"/>
      <c r="H9" s="17"/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132"/>
      <c r="G10" s="25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132"/>
      <c r="G11" s="25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80000</v>
      </c>
      <c r="G36" s="120">
        <f>SUM(G7:G35)</f>
        <v>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6000-000000000000}"/>
  </hyperlinks>
  <pageMargins left="0.7" right="0.7" top="0.75" bottom="0.75" header="0.3" footer="0.3"/>
  <pageSetup paperSize="9" scale="72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K118"/>
  <sheetViews>
    <sheetView rightToLeft="1" view="pageBreakPreview" zoomScale="150" zoomScaleNormal="100" zoomScaleSheetLayoutView="150" workbookViewId="0">
      <selection activeCell="B8" sqref="B8"/>
    </sheetView>
  </sheetViews>
  <sheetFormatPr defaultColWidth="9.109375" defaultRowHeight="17.399999999999999"/>
  <cols>
    <col min="1" max="1" width="3.5546875" style="1" bestFit="1" customWidth="1"/>
    <col min="2" max="2" width="12.6640625" style="1" bestFit="1" customWidth="1"/>
    <col min="3" max="3" width="15.6640625" style="1" bestFit="1" customWidth="1"/>
    <col min="4" max="4" width="13" style="1" bestFit="1" customWidth="1"/>
    <col min="5" max="5" width="15.33203125" style="73" bestFit="1" customWidth="1"/>
    <col min="6" max="6" width="15.21875" style="114" bestFit="1" customWidth="1"/>
    <col min="7" max="7" width="6.109375" style="79" bestFit="1" customWidth="1"/>
    <col min="8" max="8" width="13.44140625" style="1" bestFit="1" customWidth="1"/>
    <col min="9" max="9" width="6.66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92</v>
      </c>
      <c r="B2" s="202" t="s">
        <v>43</v>
      </c>
      <c r="C2" s="203"/>
      <c r="D2" s="85"/>
      <c r="E2" s="86" t="s">
        <v>8</v>
      </c>
      <c r="F2" s="87">
        <v>2005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947</v>
      </c>
      <c r="D3" s="89"/>
      <c r="E3" s="86" t="s">
        <v>68</v>
      </c>
      <c r="F3" s="140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69.599999999999994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75</v>
      </c>
      <c r="C7" s="17">
        <v>4266</v>
      </c>
      <c r="D7" s="130">
        <v>45047</v>
      </c>
      <c r="E7" s="18" t="s">
        <v>135</v>
      </c>
      <c r="F7" s="132">
        <v>70000</v>
      </c>
      <c r="G7" s="25"/>
      <c r="H7" s="17" t="s">
        <v>75</v>
      </c>
      <c r="I7" s="17"/>
      <c r="J7" s="117"/>
      <c r="K7" s="17"/>
    </row>
    <row r="8" spans="1:11">
      <c r="A8" s="17">
        <v>2</v>
      </c>
      <c r="B8" s="17"/>
      <c r="C8" s="17" t="s">
        <v>344</v>
      </c>
      <c r="D8" s="130" t="s">
        <v>345</v>
      </c>
      <c r="E8" s="18" t="s">
        <v>349</v>
      </c>
      <c r="F8" s="132">
        <v>15000</v>
      </c>
      <c r="G8" s="25"/>
      <c r="H8" s="17"/>
      <c r="I8" s="17"/>
      <c r="J8" s="117"/>
      <c r="K8" s="17"/>
    </row>
    <row r="9" spans="1:11" ht="34.799999999999997">
      <c r="A9" s="17">
        <v>3</v>
      </c>
      <c r="B9" s="17"/>
      <c r="C9" s="17">
        <v>8062</v>
      </c>
      <c r="D9" s="130">
        <v>45739</v>
      </c>
      <c r="E9" s="18" t="s">
        <v>736</v>
      </c>
      <c r="F9" s="24">
        <v>55000</v>
      </c>
      <c r="G9" s="116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43">
        <v>8981</v>
      </c>
      <c r="D10" s="144">
        <v>45813</v>
      </c>
      <c r="E10" s="143" t="s">
        <v>546</v>
      </c>
      <c r="F10" s="145">
        <v>875000</v>
      </c>
      <c r="G10" s="116"/>
      <c r="H10" s="17" t="s">
        <v>75</v>
      </c>
      <c r="I10" s="17"/>
      <c r="J10" s="117"/>
      <c r="K10" s="17"/>
    </row>
    <row r="11" spans="1:11" ht="34.799999999999997">
      <c r="A11" s="17">
        <v>5</v>
      </c>
      <c r="B11" s="17"/>
      <c r="C11" s="17">
        <v>9087</v>
      </c>
      <c r="D11" s="130">
        <v>45836</v>
      </c>
      <c r="E11" s="18" t="s">
        <v>797</v>
      </c>
      <c r="F11" s="24">
        <v>50000</v>
      </c>
      <c r="G11" s="116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98">
        <v>559</v>
      </c>
      <c r="D12" s="135">
        <v>46011</v>
      </c>
      <c r="E12" s="99" t="s">
        <v>658</v>
      </c>
      <c r="F12" s="100">
        <v>150000</v>
      </c>
      <c r="G12" s="101"/>
      <c r="H12" s="98" t="s">
        <v>75</v>
      </c>
      <c r="I12" s="17"/>
      <c r="J12" s="117"/>
      <c r="K12" s="17"/>
    </row>
    <row r="13" spans="1:11">
      <c r="A13" s="17">
        <v>7</v>
      </c>
      <c r="B13" s="17"/>
      <c r="C13" s="17">
        <v>794</v>
      </c>
      <c r="D13" s="17" t="s">
        <v>1178</v>
      </c>
      <c r="E13" s="18" t="s">
        <v>591</v>
      </c>
      <c r="F13" s="132">
        <v>170000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08"/>
      <c r="B32" s="204" t="s">
        <v>98</v>
      </c>
      <c r="C32" s="204"/>
      <c r="D32" s="108"/>
      <c r="E32" s="118"/>
      <c r="F32" s="119">
        <f>SUM(F7:F31)</f>
        <v>1385000</v>
      </c>
      <c r="G32" s="120">
        <f>SUM(G7:G31)</f>
        <v>0</v>
      </c>
      <c r="H32" s="108"/>
      <c r="I32" s="108"/>
      <c r="J32" s="121"/>
      <c r="K32" s="108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2:C32"/>
  </mergeCells>
  <hyperlinks>
    <hyperlink ref="K2" location="الاليات!A1" display="الاليات " xr:uid="{00000000-0004-0000-6100-000000000000}"/>
  </hyperlinks>
  <pageMargins left="0.7" right="0.7" top="0.75" bottom="0.75" header="0.3" footer="0.3"/>
  <pageSetup paperSize="9" scale="74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FF0000"/>
    <pageSetUpPr fitToPage="1"/>
  </sheetPr>
  <dimension ref="A1:K118"/>
  <sheetViews>
    <sheetView rightToLeft="1" view="pageBreakPreview" topLeftCell="A10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7.21875" style="1" bestFit="1" customWidth="1"/>
    <col min="3" max="3" width="15.6640625" style="1" bestFit="1" customWidth="1"/>
    <col min="4" max="4" width="12.77734375" style="1" bestFit="1" customWidth="1"/>
    <col min="5" max="5" width="71.44140625" style="73" bestFit="1" customWidth="1"/>
    <col min="6" max="6" width="15.10937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93</v>
      </c>
      <c r="B2" s="202" t="s">
        <v>42</v>
      </c>
      <c r="C2" s="203"/>
      <c r="D2" s="85"/>
      <c r="E2" s="86" t="s">
        <v>8</v>
      </c>
      <c r="F2" s="87">
        <v>2006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948</v>
      </c>
      <c r="D3" s="89"/>
      <c r="E3" s="86" t="s">
        <v>68</v>
      </c>
      <c r="F3" s="91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81" t="s">
        <v>855</v>
      </c>
      <c r="C5" s="35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206</v>
      </c>
      <c r="C7" s="17"/>
      <c r="D7" s="130">
        <v>44929</v>
      </c>
      <c r="E7" s="18" t="s">
        <v>185</v>
      </c>
      <c r="F7" s="132">
        <v>40000</v>
      </c>
      <c r="G7" s="25"/>
      <c r="H7" s="17" t="s">
        <v>121</v>
      </c>
      <c r="I7" s="17"/>
      <c r="J7" s="117"/>
      <c r="K7" s="17"/>
    </row>
    <row r="8" spans="1:11">
      <c r="A8" s="17">
        <v>2</v>
      </c>
      <c r="B8" s="17"/>
      <c r="C8" s="98">
        <v>9738</v>
      </c>
      <c r="D8" s="135">
        <v>45913</v>
      </c>
      <c r="E8" s="99" t="s">
        <v>1045</v>
      </c>
      <c r="F8" s="100">
        <v>1735000</v>
      </c>
      <c r="G8" s="101"/>
      <c r="H8" s="98" t="s">
        <v>75</v>
      </c>
      <c r="I8" s="17"/>
      <c r="J8" s="117"/>
      <c r="K8" s="17"/>
    </row>
    <row r="9" spans="1:11" ht="27.75" customHeight="1">
      <c r="A9" s="17">
        <v>3</v>
      </c>
      <c r="B9" s="17"/>
      <c r="C9" s="17">
        <v>9920</v>
      </c>
      <c r="D9" s="130">
        <v>45931</v>
      </c>
      <c r="E9" s="18" t="s">
        <v>1060</v>
      </c>
      <c r="F9" s="132">
        <v>1322000</v>
      </c>
      <c r="G9" s="25"/>
      <c r="H9" s="98" t="s">
        <v>75</v>
      </c>
      <c r="I9" s="17"/>
      <c r="J9" s="117"/>
      <c r="K9" s="17"/>
    </row>
    <row r="10" spans="1:11" ht="34.799999999999997">
      <c r="A10" s="17">
        <v>4</v>
      </c>
      <c r="B10" s="17"/>
      <c r="C10" s="17">
        <v>101</v>
      </c>
      <c r="D10" s="130" t="s">
        <v>1062</v>
      </c>
      <c r="E10" s="18" t="s">
        <v>1067</v>
      </c>
      <c r="F10" s="132">
        <v>2195000</v>
      </c>
      <c r="G10" s="25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>
        <v>794</v>
      </c>
      <c r="D11" s="17" t="s">
        <v>1178</v>
      </c>
      <c r="E11" s="18" t="s">
        <v>591</v>
      </c>
      <c r="F11" s="132">
        <v>140000</v>
      </c>
      <c r="G11" s="25"/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08"/>
      <c r="B31" s="204" t="s">
        <v>98</v>
      </c>
      <c r="C31" s="204"/>
      <c r="D31" s="108"/>
      <c r="E31" s="118"/>
      <c r="F31" s="119">
        <f>SUM(F7:F30)</f>
        <v>5432000</v>
      </c>
      <c r="G31" s="120">
        <f>SUM(G7:G30)</f>
        <v>0</v>
      </c>
      <c r="H31" s="108"/>
      <c r="I31" s="108"/>
      <c r="J31" s="121"/>
      <c r="K31" s="108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1:C31"/>
  </mergeCells>
  <hyperlinks>
    <hyperlink ref="K2" location="الاليات!A1" display="الاليات " xr:uid="{00000000-0004-0000-6200-000000000000}"/>
  </hyperlinks>
  <pageMargins left="0.7" right="0.7" top="0.75" bottom="0.75" header="0.3" footer="0.3"/>
  <pageSetup paperSize="9" scale="70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0000"/>
    <pageSetUpPr fitToPage="1"/>
  </sheetPr>
  <dimension ref="A1:K118"/>
  <sheetViews>
    <sheetView rightToLeft="1" view="pageBreakPreview" topLeftCell="A19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2.88671875" style="1" bestFit="1" customWidth="1"/>
    <col min="4" max="4" width="4.5546875" style="1" bestFit="1" customWidth="1"/>
    <col min="5" max="5" width="11.109375" style="73" bestFit="1" customWidth="1"/>
    <col min="6" max="6" width="11" style="114" bestFit="1" customWidth="1"/>
    <col min="7" max="7" width="6.21875" style="122" bestFit="1" customWidth="1"/>
    <col min="8" max="8" width="13.44140625" style="1" bestFit="1" customWidth="1"/>
    <col min="9" max="9" width="10.21875" style="1" bestFit="1" customWidth="1"/>
    <col min="10" max="10" width="7.218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94</v>
      </c>
      <c r="B2" s="202" t="s">
        <v>44</v>
      </c>
      <c r="C2" s="203"/>
      <c r="D2" s="85"/>
      <c r="E2" s="86" t="s">
        <v>8</v>
      </c>
      <c r="F2" s="87">
        <v>2005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949</v>
      </c>
      <c r="D3" s="89"/>
      <c r="E3" s="86" t="s">
        <v>68</v>
      </c>
      <c r="F3" s="91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8"/>
      <c r="C7" s="18"/>
      <c r="D7" s="133"/>
      <c r="E7" s="18"/>
      <c r="F7" s="134"/>
      <c r="G7" s="116"/>
      <c r="H7" s="17"/>
      <c r="I7" s="17"/>
      <c r="J7" s="117"/>
      <c r="K7" s="17"/>
    </row>
    <row r="8" spans="1:11">
      <c r="A8" s="17">
        <v>2</v>
      </c>
      <c r="B8" s="18"/>
      <c r="C8" s="18"/>
      <c r="D8" s="18"/>
      <c r="E8" s="18"/>
      <c r="F8" s="134"/>
      <c r="G8" s="116"/>
      <c r="H8" s="17"/>
      <c r="I8" s="17"/>
      <c r="J8" s="117"/>
      <c r="K8" s="17"/>
    </row>
    <row r="9" spans="1:11">
      <c r="A9" s="17">
        <v>3</v>
      </c>
      <c r="B9" s="18"/>
      <c r="C9" s="18"/>
      <c r="D9" s="18"/>
      <c r="E9" s="18"/>
      <c r="F9" s="134"/>
      <c r="G9" s="116"/>
      <c r="H9" s="17"/>
      <c r="I9" s="17"/>
      <c r="J9" s="117"/>
      <c r="K9" s="17"/>
    </row>
    <row r="10" spans="1:11">
      <c r="A10" s="17">
        <v>4</v>
      </c>
      <c r="B10" s="18"/>
      <c r="C10" s="18"/>
      <c r="D10" s="18"/>
      <c r="E10" s="18"/>
      <c r="F10" s="134"/>
      <c r="G10" s="116"/>
      <c r="H10" s="17"/>
      <c r="I10" s="17"/>
      <c r="J10" s="117"/>
      <c r="K10" s="17"/>
    </row>
    <row r="11" spans="1:11">
      <c r="A11" s="17">
        <v>5</v>
      </c>
      <c r="B11" s="17"/>
      <c r="C11" s="17"/>
      <c r="D11" s="130"/>
      <c r="E11" s="18"/>
      <c r="F11" s="132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30"/>
      <c r="E12" s="18"/>
      <c r="F12" s="132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116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116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6300-000000000000}"/>
  </hyperlinks>
  <pageMargins left="0.7" right="0.7" top="0.75" bottom="0.75" header="0.3" footer="0.3"/>
  <pageSetup paperSize="9" scale="70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8.77734375" style="1" bestFit="1" customWidth="1"/>
    <col min="3" max="3" width="12.77734375" style="1" bestFit="1" customWidth="1"/>
    <col min="4" max="4" width="4.5546875" style="1" bestFit="1" customWidth="1"/>
    <col min="5" max="5" width="8" style="73" bestFit="1" customWidth="1"/>
    <col min="6" max="6" width="8.2187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4.799999999999997">
      <c r="A2" s="35">
        <v>1</v>
      </c>
      <c r="B2" s="202" t="s">
        <v>180</v>
      </c>
      <c r="C2" s="203"/>
      <c r="D2" s="85"/>
      <c r="E2" s="86" t="s">
        <v>8</v>
      </c>
      <c r="F2" s="17"/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>
        <v>8641</v>
      </c>
      <c r="D3" s="89"/>
      <c r="E3" s="86" t="s">
        <v>68</v>
      </c>
      <c r="F3" s="89" t="s">
        <v>465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81">
        <v>1</v>
      </c>
      <c r="B7" s="143"/>
      <c r="C7" s="143"/>
      <c r="D7" s="144"/>
      <c r="E7" s="143"/>
      <c r="F7" s="145"/>
      <c r="G7" s="116"/>
      <c r="H7" s="17"/>
      <c r="I7" s="81"/>
      <c r="J7" s="23"/>
      <c r="K7" s="81"/>
    </row>
    <row r="8" spans="1:11">
      <c r="A8" s="17">
        <v>3</v>
      </c>
      <c r="B8" s="143"/>
      <c r="C8" s="143"/>
      <c r="D8" s="144"/>
      <c r="E8" s="143"/>
      <c r="F8" s="145"/>
      <c r="G8" s="116"/>
      <c r="H8" s="17"/>
      <c r="I8" s="17"/>
      <c r="J8" s="117"/>
      <c r="K8" s="17"/>
    </row>
    <row r="9" spans="1:11">
      <c r="A9" s="17">
        <v>4</v>
      </c>
      <c r="B9" s="143"/>
      <c r="C9" s="143"/>
      <c r="D9" s="144"/>
      <c r="E9" s="143"/>
      <c r="F9" s="145"/>
      <c r="G9" s="116"/>
      <c r="H9" s="17"/>
      <c r="I9" s="17"/>
      <c r="J9" s="117"/>
      <c r="K9" s="17"/>
    </row>
    <row r="10" spans="1:11">
      <c r="A10" s="17">
        <v>5</v>
      </c>
      <c r="B10" s="143"/>
      <c r="C10" s="143"/>
      <c r="D10" s="144"/>
      <c r="E10" s="143"/>
      <c r="F10" s="145"/>
      <c r="G10" s="116"/>
      <c r="H10" s="17"/>
      <c r="I10" s="17"/>
      <c r="J10" s="117"/>
      <c r="K10" s="17"/>
    </row>
    <row r="11" spans="1:11">
      <c r="A11" s="17">
        <v>6</v>
      </c>
      <c r="B11" s="143"/>
      <c r="C11" s="143"/>
      <c r="D11" s="143"/>
      <c r="E11" s="143"/>
      <c r="F11" s="145"/>
      <c r="G11" s="116"/>
      <c r="H11" s="17"/>
      <c r="I11" s="17"/>
      <c r="J11" s="117"/>
      <c r="K11" s="17"/>
    </row>
    <row r="12" spans="1:11">
      <c r="A12" s="17">
        <v>7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6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0</v>
      </c>
      <c r="G36" s="120">
        <f>SUM(G7:G35)</f>
        <v>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6400-000000000000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2.88671875" style="1" bestFit="1" customWidth="1"/>
    <col min="4" max="4" width="12.77734375" style="1" bestFit="1" customWidth="1"/>
    <col min="5" max="5" width="13.33203125" style="73" bestFit="1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96</v>
      </c>
      <c r="B2" s="202" t="s">
        <v>55</v>
      </c>
      <c r="C2" s="203"/>
      <c r="D2" s="85"/>
      <c r="E2" s="86" t="s">
        <v>8</v>
      </c>
      <c r="F2" s="87">
        <v>2006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951</v>
      </c>
      <c r="D3" s="89"/>
      <c r="E3" s="86" t="s">
        <v>68</v>
      </c>
      <c r="F3" s="91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9"/>
      <c r="C7" s="17">
        <v>7348</v>
      </c>
      <c r="D7" s="130">
        <v>45619</v>
      </c>
      <c r="E7" s="131" t="s">
        <v>145</v>
      </c>
      <c r="F7" s="132"/>
      <c r="G7" s="116">
        <v>55</v>
      </c>
      <c r="H7" s="17" t="s">
        <v>75</v>
      </c>
      <c r="I7" s="98"/>
      <c r="J7" s="102"/>
      <c r="K7" s="17"/>
    </row>
    <row r="8" spans="1:11">
      <c r="A8" s="98">
        <v>2</v>
      </c>
      <c r="B8" s="99"/>
      <c r="C8" s="99">
        <v>8806</v>
      </c>
      <c r="D8" s="136">
        <v>45791</v>
      </c>
      <c r="E8" s="99" t="s">
        <v>145</v>
      </c>
      <c r="F8" s="137">
        <v>130000</v>
      </c>
      <c r="G8" s="127"/>
      <c r="H8" s="98" t="s">
        <v>75</v>
      </c>
      <c r="I8" s="98"/>
      <c r="J8" s="102"/>
      <c r="K8" s="17"/>
    </row>
    <row r="9" spans="1:11" ht="87">
      <c r="A9" s="98">
        <v>3</v>
      </c>
      <c r="B9" s="99"/>
      <c r="C9" s="17">
        <v>303</v>
      </c>
      <c r="D9" s="130">
        <v>45977</v>
      </c>
      <c r="E9" s="18" t="s">
        <v>1091</v>
      </c>
      <c r="F9" s="132">
        <v>1438000</v>
      </c>
      <c r="G9" s="25"/>
      <c r="H9" s="117" t="s">
        <v>75</v>
      </c>
      <c r="I9" s="98"/>
      <c r="J9" s="102"/>
      <c r="K9" s="17"/>
    </row>
    <row r="10" spans="1:11">
      <c r="A10" s="98">
        <v>4</v>
      </c>
      <c r="B10" s="99"/>
      <c r="C10" s="99"/>
      <c r="D10" s="99"/>
      <c r="E10" s="99"/>
      <c r="F10" s="137"/>
      <c r="G10" s="127"/>
      <c r="H10" s="98"/>
      <c r="I10" s="98"/>
      <c r="J10" s="102"/>
      <c r="K10" s="17"/>
    </row>
    <row r="11" spans="1:11">
      <c r="A11" s="98">
        <v>5</v>
      </c>
      <c r="B11" s="99"/>
      <c r="C11" s="99"/>
      <c r="D11" s="136"/>
      <c r="E11" s="99"/>
      <c r="F11" s="137"/>
      <c r="G11" s="127"/>
      <c r="H11" s="98"/>
      <c r="I11" s="98"/>
      <c r="J11" s="102"/>
      <c r="K11" s="17"/>
    </row>
    <row r="12" spans="1:11">
      <c r="A12" s="98">
        <v>6</v>
      </c>
      <c r="B12" s="99"/>
      <c r="C12" s="99"/>
      <c r="D12" s="99"/>
      <c r="E12" s="99"/>
      <c r="F12" s="137"/>
      <c r="G12" s="127"/>
      <c r="H12" s="98"/>
      <c r="I12" s="98"/>
      <c r="J12" s="102"/>
      <c r="K12" s="17"/>
    </row>
    <row r="13" spans="1:11">
      <c r="A13" s="98">
        <v>7</v>
      </c>
      <c r="B13" s="99"/>
      <c r="C13" s="99"/>
      <c r="D13" s="99"/>
      <c r="E13" s="99"/>
      <c r="F13" s="137"/>
      <c r="G13" s="127"/>
      <c r="H13" s="98"/>
      <c r="I13" s="98"/>
      <c r="J13" s="102"/>
      <c r="K13" s="17"/>
    </row>
    <row r="14" spans="1:11">
      <c r="A14" s="98">
        <v>8</v>
      </c>
      <c r="B14" s="98"/>
      <c r="C14" s="98"/>
      <c r="D14" s="98"/>
      <c r="E14" s="99"/>
      <c r="F14" s="100"/>
      <c r="G14" s="127"/>
      <c r="H14" s="98"/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00"/>
      <c r="G15" s="127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00"/>
      <c r="G16" s="127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00"/>
      <c r="G17" s="127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00"/>
      <c r="G18" s="127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00"/>
      <c r="G19" s="127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00"/>
      <c r="G20" s="127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00"/>
      <c r="G21" s="127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00"/>
      <c r="G22" s="127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00"/>
      <c r="G23" s="127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00"/>
      <c r="G24" s="127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00"/>
      <c r="G25" s="127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00"/>
      <c r="G26" s="127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00"/>
      <c r="G27" s="127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00"/>
      <c r="G28" s="127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00"/>
      <c r="G29" s="127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00"/>
      <c r="G30" s="127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00"/>
      <c r="G31" s="127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00"/>
      <c r="G32" s="127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00"/>
      <c r="G33" s="127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00"/>
      <c r="G34" s="127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00"/>
      <c r="G35" s="127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00"/>
      <c r="G36" s="127"/>
      <c r="H36" s="98"/>
      <c r="I36" s="98"/>
      <c r="J36" s="102"/>
      <c r="K36" s="17"/>
    </row>
    <row r="37" spans="1:11">
      <c r="A37" s="103"/>
      <c r="B37" s="206" t="s">
        <v>98</v>
      </c>
      <c r="C37" s="206"/>
      <c r="D37" s="103"/>
      <c r="E37" s="104"/>
      <c r="F37" s="105">
        <f>SUM(F7:F36)</f>
        <v>1568000</v>
      </c>
      <c r="G37" s="106">
        <f>SUM(G7:G36)</f>
        <v>55</v>
      </c>
      <c r="H37" s="103"/>
      <c r="I37" s="103"/>
      <c r="J37" s="107"/>
      <c r="K37" s="108"/>
    </row>
    <row r="38" spans="1:11">
      <c r="A38" s="109"/>
      <c r="B38" s="109"/>
      <c r="C38" s="109"/>
      <c r="D38" s="109"/>
      <c r="E38" s="110"/>
      <c r="F38" s="111"/>
      <c r="G38" s="129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11"/>
      <c r="G39" s="129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11"/>
      <c r="G40" s="129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29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29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29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29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29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29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29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29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29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29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29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29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29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29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29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29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29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29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29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29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29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29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29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29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29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29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29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29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29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29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29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29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11"/>
      <c r="G73" s="129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11"/>
      <c r="G74" s="129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11"/>
      <c r="G75" s="129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11"/>
      <c r="G76" s="129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11"/>
      <c r="G77" s="129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11"/>
      <c r="G78" s="129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11"/>
      <c r="G79" s="129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11"/>
      <c r="G80" s="129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11"/>
      <c r="G81" s="129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11"/>
      <c r="G82" s="129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11"/>
      <c r="G83" s="129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11"/>
      <c r="G84" s="129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11"/>
      <c r="G85" s="129"/>
      <c r="H85" s="109"/>
      <c r="I85" s="109"/>
      <c r="J85" s="113"/>
    </row>
    <row r="86" spans="1:10">
      <c r="A86" s="109"/>
      <c r="B86" s="109"/>
      <c r="C86" s="109"/>
      <c r="D86" s="109"/>
      <c r="E86" s="110"/>
      <c r="F86" s="111"/>
      <c r="G86" s="129"/>
      <c r="H86" s="109"/>
      <c r="I86" s="109"/>
      <c r="J86" s="113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6500-000000000000}"/>
  </hyperlinks>
  <pageMargins left="0.7" right="0.7" top="0.75" bottom="0.75" header="0.3" footer="0.3"/>
  <pageSetup paperSize="9" scale="64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2.88671875" style="1" bestFit="1" customWidth="1"/>
    <col min="4" max="4" width="12.77734375" style="1" bestFit="1" customWidth="1"/>
    <col min="5" max="5" width="12.6640625" style="73" bestFit="1" customWidth="1"/>
    <col min="6" max="6" width="13.3320312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97</v>
      </c>
      <c r="B2" s="202" t="s">
        <v>55</v>
      </c>
      <c r="C2" s="203"/>
      <c r="D2" s="85"/>
      <c r="E2" s="86" t="s">
        <v>8</v>
      </c>
      <c r="F2" s="17">
        <v>2002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952</v>
      </c>
      <c r="D3" s="89"/>
      <c r="E3" s="86" t="s">
        <v>68</v>
      </c>
      <c r="F3" s="89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9"/>
      <c r="C7" s="99">
        <v>8806</v>
      </c>
      <c r="D7" s="136">
        <v>45791</v>
      </c>
      <c r="E7" s="99" t="s">
        <v>773</v>
      </c>
      <c r="F7" s="137">
        <v>300000</v>
      </c>
      <c r="G7" s="127"/>
      <c r="H7" s="98" t="s">
        <v>75</v>
      </c>
      <c r="I7" s="98"/>
      <c r="J7" s="102"/>
      <c r="K7" s="17"/>
    </row>
    <row r="8" spans="1:11" ht="52.2">
      <c r="A8" s="98">
        <v>2</v>
      </c>
      <c r="B8" s="98"/>
      <c r="C8" s="17">
        <v>303</v>
      </c>
      <c r="D8" s="130">
        <v>45977</v>
      </c>
      <c r="E8" s="18" t="s">
        <v>1097</v>
      </c>
      <c r="F8" s="132">
        <v>180000</v>
      </c>
      <c r="G8" s="25"/>
      <c r="H8" s="117" t="s">
        <v>75</v>
      </c>
      <c r="I8" s="98"/>
      <c r="J8" s="102"/>
      <c r="K8" s="17"/>
    </row>
    <row r="9" spans="1:11">
      <c r="A9" s="98">
        <v>3</v>
      </c>
      <c r="B9" s="98"/>
      <c r="C9" s="98"/>
      <c r="D9" s="98"/>
      <c r="E9" s="99"/>
      <c r="F9" s="126"/>
      <c r="G9" s="127"/>
      <c r="H9" s="98"/>
      <c r="I9" s="98"/>
      <c r="J9" s="102"/>
      <c r="K9" s="17"/>
    </row>
    <row r="10" spans="1:11">
      <c r="A10" s="98">
        <v>4</v>
      </c>
      <c r="B10" s="98"/>
      <c r="C10" s="98"/>
      <c r="D10" s="98"/>
      <c r="E10" s="99"/>
      <c r="F10" s="126"/>
      <c r="G10" s="127"/>
      <c r="H10" s="98"/>
      <c r="I10" s="98"/>
      <c r="J10" s="102"/>
      <c r="K10" s="17"/>
    </row>
    <row r="11" spans="1:11">
      <c r="A11" s="98">
        <v>5</v>
      </c>
      <c r="B11" s="98"/>
      <c r="C11" s="98"/>
      <c r="D11" s="98"/>
      <c r="E11" s="99"/>
      <c r="F11" s="126"/>
      <c r="G11" s="127"/>
      <c r="H11" s="98"/>
      <c r="I11" s="98"/>
      <c r="J11" s="102"/>
      <c r="K11" s="17"/>
    </row>
    <row r="12" spans="1:11">
      <c r="A12" s="98">
        <v>6</v>
      </c>
      <c r="B12" s="98"/>
      <c r="C12" s="98"/>
      <c r="D12" s="98"/>
      <c r="E12" s="99"/>
      <c r="F12" s="126"/>
      <c r="G12" s="127"/>
      <c r="H12" s="98"/>
      <c r="I12" s="98"/>
      <c r="J12" s="102"/>
      <c r="K12" s="17"/>
    </row>
    <row r="13" spans="1:11">
      <c r="A13" s="98">
        <v>7</v>
      </c>
      <c r="B13" s="98"/>
      <c r="C13" s="98"/>
      <c r="D13" s="98"/>
      <c r="E13" s="99"/>
      <c r="F13" s="126"/>
      <c r="G13" s="127"/>
      <c r="H13" s="98"/>
      <c r="I13" s="98"/>
      <c r="J13" s="102"/>
      <c r="K13" s="17"/>
    </row>
    <row r="14" spans="1:11">
      <c r="A14" s="98">
        <v>8</v>
      </c>
      <c r="B14" s="98"/>
      <c r="C14" s="98"/>
      <c r="D14" s="98"/>
      <c r="E14" s="99"/>
      <c r="F14" s="126"/>
      <c r="G14" s="127"/>
      <c r="H14" s="98"/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26"/>
      <c r="G15" s="127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26"/>
      <c r="G16" s="127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26"/>
      <c r="G17" s="127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26"/>
      <c r="G18" s="127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26"/>
      <c r="G19" s="127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26"/>
      <c r="G20" s="127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26"/>
      <c r="G21" s="127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26"/>
      <c r="G22" s="127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26"/>
      <c r="G23" s="127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26"/>
      <c r="G24" s="127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26"/>
      <c r="G25" s="127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26"/>
      <c r="G26" s="127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26"/>
      <c r="G27" s="127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26"/>
      <c r="G28" s="127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26"/>
      <c r="G29" s="127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26"/>
      <c r="G30" s="127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26"/>
      <c r="G31" s="127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26"/>
      <c r="G32" s="127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26"/>
      <c r="G33" s="127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26"/>
      <c r="G34" s="127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26"/>
      <c r="G35" s="127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26"/>
      <c r="G36" s="127"/>
      <c r="H36" s="98"/>
      <c r="I36" s="98"/>
      <c r="J36" s="102"/>
      <c r="K36" s="17"/>
    </row>
    <row r="37" spans="1:11">
      <c r="A37" s="103"/>
      <c r="B37" s="206" t="s">
        <v>98</v>
      </c>
      <c r="C37" s="206"/>
      <c r="D37" s="103"/>
      <c r="E37" s="104"/>
      <c r="F37" s="105">
        <f>SUM(F7:F36)</f>
        <v>480000</v>
      </c>
      <c r="G37" s="106">
        <f>SUM(G7:G36)</f>
        <v>0</v>
      </c>
      <c r="H37" s="103"/>
      <c r="I37" s="103"/>
      <c r="J37" s="107"/>
      <c r="K37" s="108"/>
    </row>
    <row r="38" spans="1:11">
      <c r="A38" s="109"/>
      <c r="B38" s="109"/>
      <c r="C38" s="109"/>
      <c r="D38" s="109"/>
      <c r="E38" s="110"/>
      <c r="F38" s="128"/>
      <c r="G38" s="129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28"/>
      <c r="G39" s="129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28"/>
      <c r="G40" s="129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28"/>
      <c r="G41" s="129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28"/>
      <c r="G42" s="129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28"/>
      <c r="G43" s="129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28"/>
      <c r="G44" s="129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28"/>
      <c r="G45" s="129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28"/>
      <c r="G46" s="129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28"/>
      <c r="G47" s="129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28"/>
      <c r="G48" s="129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28"/>
      <c r="G49" s="129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28"/>
      <c r="G50" s="129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28"/>
      <c r="G51" s="129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28"/>
      <c r="G52" s="129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28"/>
      <c r="G53" s="129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28"/>
      <c r="G54" s="129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28"/>
      <c r="G55" s="129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28"/>
      <c r="G56" s="129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28"/>
      <c r="G57" s="129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28"/>
      <c r="G58" s="129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28"/>
      <c r="G59" s="129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28"/>
      <c r="G60" s="129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28"/>
      <c r="G61" s="129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28"/>
      <c r="G62" s="129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28"/>
      <c r="G63" s="129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28"/>
      <c r="G64" s="129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28"/>
      <c r="G65" s="129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28"/>
      <c r="G66" s="129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28"/>
      <c r="G67" s="129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28"/>
      <c r="G68" s="129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28"/>
      <c r="G69" s="129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28"/>
      <c r="G70" s="129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28"/>
      <c r="G71" s="129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28"/>
      <c r="G72" s="129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28"/>
      <c r="G73" s="129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28"/>
      <c r="G74" s="129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28"/>
      <c r="G75" s="129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28"/>
      <c r="G76" s="129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28"/>
      <c r="G77" s="129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28"/>
      <c r="G78" s="129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28"/>
      <c r="G79" s="129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28"/>
      <c r="G80" s="129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28"/>
      <c r="G81" s="129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28"/>
      <c r="G82" s="129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28"/>
      <c r="G83" s="129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28"/>
      <c r="G84" s="129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28"/>
      <c r="G85" s="129"/>
      <c r="H85" s="109"/>
      <c r="I85" s="109"/>
      <c r="J85" s="113"/>
    </row>
    <row r="86" spans="1:10">
      <c r="A86" s="109"/>
      <c r="B86" s="109"/>
      <c r="C86" s="109"/>
      <c r="D86" s="109"/>
      <c r="E86" s="110"/>
      <c r="F86" s="128"/>
      <c r="G86" s="129"/>
      <c r="H86" s="109"/>
      <c r="I86" s="109"/>
      <c r="J86" s="113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6600-000000000000}"/>
  </hyperlinks>
  <pageMargins left="0.7" right="0.7" top="0.75" bottom="0.75" header="0.3" footer="0.3"/>
  <pageSetup paperSize="9" scale="67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3.44140625" defaultRowHeight="17.399999999999999"/>
  <cols>
    <col min="1" max="1" width="3.44140625" style="1" bestFit="1" customWidth="1"/>
    <col min="2" max="2" width="8.6640625" style="1" bestFit="1" customWidth="1"/>
    <col min="3" max="3" width="12.88671875" style="1" bestFit="1" customWidth="1"/>
    <col min="4" max="4" width="12.77734375" style="1" bestFit="1" customWidth="1"/>
    <col min="5" max="5" width="11" style="73" bestFit="1" customWidth="1"/>
    <col min="6" max="6" width="12" style="78" bestFit="1" customWidth="1"/>
    <col min="7" max="7" width="4.6640625" style="122" bestFit="1" customWidth="1"/>
    <col min="8" max="8" width="13.44140625" style="1" bestFit="1" customWidth="1"/>
    <col min="9" max="9" width="6.44140625" style="1" bestFit="1" customWidth="1"/>
    <col min="10" max="10" width="3.44140625" style="1" bestFit="1" customWidth="1"/>
    <col min="11" max="11" width="16.88671875" style="1" bestFit="1" customWidth="1"/>
    <col min="12" max="16384" width="3.4414062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98</v>
      </c>
      <c r="B2" s="202" t="s">
        <v>55</v>
      </c>
      <c r="C2" s="203"/>
      <c r="D2" s="85"/>
      <c r="E2" s="86" t="s">
        <v>8</v>
      </c>
      <c r="F2" s="17">
        <v>2002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953</v>
      </c>
      <c r="D3" s="89"/>
      <c r="E3" s="86" t="s">
        <v>68</v>
      </c>
      <c r="F3" s="89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69.599999999999994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7348</v>
      </c>
      <c r="D7" s="130">
        <v>45619</v>
      </c>
      <c r="E7" s="131" t="s">
        <v>145</v>
      </c>
      <c r="F7" s="132"/>
      <c r="G7" s="116">
        <v>55</v>
      </c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7882</v>
      </c>
      <c r="D8" s="130">
        <v>45705</v>
      </c>
      <c r="E8" s="18" t="s">
        <v>720</v>
      </c>
      <c r="F8" s="24">
        <v>35000</v>
      </c>
      <c r="G8" s="116"/>
      <c r="H8" s="17" t="s">
        <v>75</v>
      </c>
      <c r="I8" s="17"/>
      <c r="J8" s="117"/>
      <c r="K8" s="17"/>
    </row>
    <row r="9" spans="1:11">
      <c r="A9" s="17">
        <v>4</v>
      </c>
      <c r="B9" s="17"/>
      <c r="C9" s="17"/>
      <c r="D9" s="17"/>
      <c r="E9" s="18"/>
      <c r="F9" s="24"/>
      <c r="G9" s="116"/>
      <c r="H9" s="17"/>
      <c r="I9" s="17"/>
      <c r="J9" s="117"/>
      <c r="K9" s="17"/>
    </row>
    <row r="10" spans="1:11">
      <c r="A10" s="17">
        <v>5</v>
      </c>
      <c r="B10" s="17"/>
      <c r="C10" s="17"/>
      <c r="D10" s="17"/>
      <c r="E10" s="18"/>
      <c r="F10" s="24"/>
      <c r="G10" s="116"/>
      <c r="H10" s="17"/>
      <c r="I10" s="17"/>
      <c r="J10" s="117"/>
      <c r="K10" s="17"/>
    </row>
    <row r="11" spans="1:11">
      <c r="A11" s="17">
        <v>6</v>
      </c>
      <c r="B11" s="17"/>
      <c r="C11" s="17"/>
      <c r="D11" s="17"/>
      <c r="E11" s="18"/>
      <c r="F11" s="24"/>
      <c r="G11" s="116"/>
      <c r="H11" s="17"/>
      <c r="I11" s="17"/>
      <c r="J11" s="117"/>
      <c r="K11" s="17"/>
    </row>
    <row r="12" spans="1:11">
      <c r="A12" s="17">
        <v>7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8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9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10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11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12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13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14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15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16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17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18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19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20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21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22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23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24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25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26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27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28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29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30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35000</v>
      </c>
      <c r="G36" s="120">
        <f>SUM(G7:G35)</f>
        <v>55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6700-000000000000}"/>
  </hyperlinks>
  <pageMargins left="0.7" right="0.7" top="0.75" bottom="0.75" header="0.3" footer="0.3"/>
  <pageSetup paperSize="9" scale="70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bestFit="1" customWidth="1"/>
    <col min="2" max="2" width="12.6640625" style="1" bestFit="1" customWidth="1"/>
    <col min="3" max="3" width="12.88671875" style="1" bestFit="1" customWidth="1"/>
    <col min="4" max="4" width="12.77734375" style="1" bestFit="1" customWidth="1"/>
    <col min="5" max="5" width="17.5546875" style="73" bestFit="1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99</v>
      </c>
      <c r="B2" s="202" t="s">
        <v>55</v>
      </c>
      <c r="C2" s="203"/>
      <c r="D2" s="85"/>
      <c r="E2" s="86" t="s">
        <v>8</v>
      </c>
      <c r="F2" s="87">
        <v>2002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955</v>
      </c>
      <c r="D3" s="89"/>
      <c r="E3" s="86" t="s">
        <v>68</v>
      </c>
      <c r="F3" s="140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8"/>
      <c r="C7" s="17">
        <v>6633</v>
      </c>
      <c r="D7" s="17" t="s">
        <v>533</v>
      </c>
      <c r="E7" s="18" t="s">
        <v>537</v>
      </c>
      <c r="F7" s="132">
        <v>280000</v>
      </c>
      <c r="G7" s="25"/>
      <c r="H7" s="98" t="s">
        <v>75</v>
      </c>
      <c r="I7" s="17"/>
      <c r="J7" s="117"/>
      <c r="K7" s="17"/>
    </row>
    <row r="8" spans="1:11">
      <c r="A8" s="17">
        <v>2</v>
      </c>
      <c r="B8" s="18"/>
      <c r="C8" s="17">
        <v>7348</v>
      </c>
      <c r="D8" s="130">
        <v>45619</v>
      </c>
      <c r="E8" s="131" t="s">
        <v>145</v>
      </c>
      <c r="F8" s="132">
        <v>65000</v>
      </c>
      <c r="G8" s="116"/>
      <c r="H8" s="17" t="s">
        <v>75</v>
      </c>
      <c r="I8" s="17"/>
      <c r="J8" s="117"/>
      <c r="K8" s="17"/>
    </row>
    <row r="9" spans="1:11" ht="34.799999999999997">
      <c r="A9" s="17">
        <v>3</v>
      </c>
      <c r="B9" s="18"/>
      <c r="C9" s="17">
        <v>7882</v>
      </c>
      <c r="D9" s="130">
        <v>45705</v>
      </c>
      <c r="E9" s="18" t="s">
        <v>719</v>
      </c>
      <c r="F9" s="24">
        <v>464000</v>
      </c>
      <c r="G9" s="116"/>
      <c r="H9" s="17" t="s">
        <v>75</v>
      </c>
      <c r="I9" s="17"/>
      <c r="J9" s="117"/>
      <c r="K9" s="17"/>
    </row>
    <row r="10" spans="1:11" ht="52.2">
      <c r="A10" s="17">
        <v>4</v>
      </c>
      <c r="B10" s="18"/>
      <c r="C10" s="17">
        <v>303</v>
      </c>
      <c r="D10" s="130">
        <v>45977</v>
      </c>
      <c r="E10" s="18" t="s">
        <v>1092</v>
      </c>
      <c r="F10" s="132">
        <v>290000</v>
      </c>
      <c r="G10" s="25"/>
      <c r="H10" s="117" t="s">
        <v>75</v>
      </c>
      <c r="I10" s="17"/>
      <c r="J10" s="117"/>
      <c r="K10" s="17"/>
    </row>
    <row r="11" spans="1:11">
      <c r="A11" s="17">
        <v>5</v>
      </c>
      <c r="B11" s="17"/>
      <c r="C11" s="17">
        <v>615</v>
      </c>
      <c r="D11" s="130">
        <v>46018</v>
      </c>
      <c r="E11" s="18" t="s">
        <v>145</v>
      </c>
      <c r="F11" s="132">
        <v>60000</v>
      </c>
      <c r="G11" s="25"/>
      <c r="H11" s="117" t="s">
        <v>75</v>
      </c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132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132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132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132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132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132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132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116"/>
      <c r="H35" s="17"/>
      <c r="I35" s="17"/>
      <c r="J35" s="117"/>
      <c r="K35" s="17"/>
    </row>
    <row r="36" spans="1:11">
      <c r="A36" s="108"/>
      <c r="B36" s="204" t="s">
        <v>98</v>
      </c>
      <c r="C36" s="204"/>
      <c r="D36" s="108"/>
      <c r="E36" s="118"/>
      <c r="F36" s="119">
        <f>SUM(F7:F35)</f>
        <v>1159000</v>
      </c>
      <c r="G36" s="120">
        <f>SUM(G7:G35)</f>
        <v>0</v>
      </c>
      <c r="H36" s="108"/>
      <c r="I36" s="108"/>
      <c r="J36" s="121"/>
      <c r="K36" s="108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6:C36"/>
  </mergeCells>
  <hyperlinks>
    <hyperlink ref="K2" location="الاليات!A1" display="الاليات " xr:uid="{00000000-0004-0000-6800-000000000000}"/>
  </hyperlinks>
  <pageMargins left="0.7" right="0.7" top="0.75" bottom="0.75" header="0.3" footer="0.3"/>
  <pageSetup paperSize="9" scale="67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5.33203125" style="1" bestFit="1" customWidth="1"/>
    <col min="3" max="3" width="12.77734375" style="1" bestFit="1" customWidth="1"/>
    <col min="4" max="4" width="11.5546875" style="1" bestFit="1" customWidth="1"/>
    <col min="5" max="5" width="11" style="73" bestFit="1" customWidth="1"/>
    <col min="6" max="6" width="13.33203125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100</v>
      </c>
      <c r="B2" s="202" t="s">
        <v>49</v>
      </c>
      <c r="C2" s="203"/>
      <c r="D2" s="85"/>
      <c r="E2" s="86" t="s">
        <v>8</v>
      </c>
      <c r="F2" s="87" t="s">
        <v>937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88</v>
      </c>
      <c r="D3" s="89"/>
      <c r="E3" s="86" t="s">
        <v>68</v>
      </c>
      <c r="F3" s="91" t="s">
        <v>94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7272</v>
      </c>
      <c r="D7" s="130">
        <v>45599</v>
      </c>
      <c r="E7" s="131" t="s">
        <v>259</v>
      </c>
      <c r="F7" s="132">
        <v>535000</v>
      </c>
      <c r="G7" s="116"/>
      <c r="H7" s="17" t="s">
        <v>75</v>
      </c>
      <c r="I7" s="17"/>
      <c r="J7" s="117"/>
      <c r="K7" s="17"/>
    </row>
    <row r="8" spans="1:11">
      <c r="A8" s="17">
        <v>2</v>
      </c>
      <c r="B8" s="17"/>
      <c r="C8" s="17"/>
      <c r="D8" s="130"/>
      <c r="E8" s="18"/>
      <c r="F8" s="132"/>
      <c r="G8" s="25"/>
      <c r="H8" s="17"/>
      <c r="I8" s="17"/>
      <c r="J8" s="117"/>
      <c r="K8" s="17"/>
    </row>
    <row r="9" spans="1:11">
      <c r="A9" s="17">
        <v>3</v>
      </c>
      <c r="B9" s="17"/>
      <c r="C9" s="17"/>
      <c r="D9" s="130"/>
      <c r="E9" s="18"/>
      <c r="G9" s="25"/>
      <c r="H9" s="17"/>
      <c r="I9" s="17"/>
      <c r="J9" s="117" t="s">
        <v>137</v>
      </c>
      <c r="K9" s="17"/>
    </row>
    <row r="10" spans="1:11">
      <c r="A10" s="17">
        <v>4</v>
      </c>
      <c r="B10" s="17"/>
      <c r="C10" s="17"/>
      <c r="D10" s="130"/>
      <c r="E10" s="18"/>
      <c r="F10" s="132"/>
      <c r="G10" s="25"/>
      <c r="H10" s="17"/>
      <c r="I10" s="17"/>
      <c r="J10" s="117"/>
      <c r="K10" s="17"/>
    </row>
    <row r="11" spans="1:11">
      <c r="A11" s="17">
        <v>5</v>
      </c>
      <c r="B11" s="17"/>
      <c r="C11" s="17"/>
      <c r="D11" s="130"/>
      <c r="E11" s="18"/>
      <c r="F11" s="132"/>
      <c r="G11" s="25"/>
      <c r="H11" s="17"/>
      <c r="I11" s="17"/>
      <c r="J11" s="117"/>
      <c r="K11" s="17"/>
    </row>
    <row r="12" spans="1:11">
      <c r="A12" s="17">
        <v>6</v>
      </c>
      <c r="B12" s="17"/>
      <c r="C12" s="17"/>
      <c r="D12" s="130"/>
      <c r="E12" s="18"/>
      <c r="F12" s="132"/>
      <c r="G12" s="25"/>
      <c r="H12" s="17"/>
      <c r="I12" s="17"/>
      <c r="J12" s="117"/>
      <c r="K12" s="17"/>
    </row>
    <row r="13" spans="1:11">
      <c r="A13" s="17">
        <v>7</v>
      </c>
      <c r="B13" s="17"/>
      <c r="C13" s="17"/>
      <c r="D13" s="130"/>
      <c r="E13" s="18"/>
      <c r="F13" s="132"/>
      <c r="G13" s="25"/>
      <c r="H13" s="17"/>
      <c r="I13" s="17"/>
      <c r="J13" s="117"/>
      <c r="K13" s="17"/>
    </row>
    <row r="14" spans="1:11">
      <c r="A14" s="17">
        <v>8</v>
      </c>
      <c r="B14" s="17"/>
      <c r="C14" s="17"/>
      <c r="D14" s="130"/>
      <c r="E14" s="18"/>
      <c r="F14" s="132"/>
      <c r="G14" s="25"/>
      <c r="H14" s="17"/>
      <c r="I14" s="17"/>
      <c r="J14" s="117"/>
      <c r="K14" s="17"/>
    </row>
    <row r="15" spans="1:11">
      <c r="A15" s="17">
        <v>9</v>
      </c>
      <c r="B15" s="17"/>
      <c r="C15" s="17"/>
      <c r="D15" s="130"/>
      <c r="E15" s="18"/>
      <c r="F15" s="132"/>
      <c r="G15" s="25"/>
      <c r="H15" s="17"/>
      <c r="I15" s="17"/>
      <c r="J15" s="117"/>
      <c r="K15" s="17"/>
    </row>
    <row r="16" spans="1:11">
      <c r="A16" s="17">
        <v>10</v>
      </c>
      <c r="B16" s="17"/>
      <c r="C16" s="17"/>
      <c r="D16" s="130"/>
      <c r="E16" s="18"/>
      <c r="F16" s="132"/>
      <c r="G16" s="25"/>
      <c r="H16" s="17"/>
      <c r="I16" s="17"/>
      <c r="J16" s="117"/>
      <c r="K16" s="17"/>
    </row>
    <row r="17" spans="1:11">
      <c r="A17" s="17">
        <v>11</v>
      </c>
      <c r="B17" s="17"/>
      <c r="C17" s="17"/>
      <c r="D17" s="130"/>
      <c r="E17" s="18"/>
      <c r="F17" s="132"/>
      <c r="G17" s="25"/>
      <c r="H17" s="17"/>
      <c r="I17" s="17"/>
      <c r="J17" s="117"/>
      <c r="K17" s="17"/>
    </row>
    <row r="18" spans="1:11">
      <c r="A18" s="17">
        <v>12</v>
      </c>
      <c r="B18" s="17"/>
      <c r="C18" s="17"/>
      <c r="D18" s="130"/>
      <c r="E18" s="18"/>
      <c r="F18" s="132"/>
      <c r="G18" s="25"/>
      <c r="H18" s="17"/>
      <c r="I18" s="17"/>
      <c r="J18" s="117"/>
      <c r="K18" s="17"/>
    </row>
    <row r="19" spans="1:11">
      <c r="A19" s="17">
        <v>13</v>
      </c>
      <c r="B19" s="17"/>
      <c r="C19" s="17"/>
      <c r="D19" s="130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535000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6900-000000000000}"/>
  </hyperlinks>
  <pageMargins left="0.7" right="0.7" top="0.75" bottom="0.75" header="0.3" footer="0.3"/>
  <pageSetup paperSize="9" scale="70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K118"/>
  <sheetViews>
    <sheetView rightToLeft="1" view="pageBreakPreview" zoomScaleNormal="100" zoomScaleSheetLayoutView="100" workbookViewId="0">
      <selection activeCell="K2" sqref="K2"/>
    </sheetView>
  </sheetViews>
  <sheetFormatPr defaultColWidth="9.109375" defaultRowHeight="17.399999999999999"/>
  <cols>
    <col min="1" max="1" width="4.6640625" style="1" bestFit="1" customWidth="1"/>
    <col min="2" max="2" width="12.6640625" style="1" bestFit="1" customWidth="1"/>
    <col min="3" max="4" width="12.77734375" style="1" bestFit="1" customWidth="1"/>
    <col min="5" max="5" width="15.88671875" style="73" bestFit="1" customWidth="1"/>
    <col min="6" max="6" width="15.109375" style="114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101</v>
      </c>
      <c r="B2" s="202" t="s">
        <v>47</v>
      </c>
      <c r="C2" s="203"/>
      <c r="D2" s="85"/>
      <c r="E2" s="86" t="s">
        <v>8</v>
      </c>
      <c r="F2" s="87">
        <v>2004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956</v>
      </c>
      <c r="D3" s="89"/>
      <c r="E3" s="86" t="s">
        <v>68</v>
      </c>
      <c r="F3" s="91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8"/>
      <c r="C7" s="18" t="s">
        <v>292</v>
      </c>
      <c r="D7" s="18" t="s">
        <v>291</v>
      </c>
      <c r="E7" s="18" t="s">
        <v>293</v>
      </c>
      <c r="F7" s="134">
        <v>803000</v>
      </c>
      <c r="G7" s="116"/>
      <c r="H7" s="17"/>
      <c r="I7" s="17"/>
      <c r="J7" s="117"/>
      <c r="K7" s="17"/>
    </row>
    <row r="8" spans="1:11">
      <c r="A8" s="17">
        <v>2</v>
      </c>
      <c r="B8" s="18"/>
      <c r="C8" s="18" t="s">
        <v>325</v>
      </c>
      <c r="D8" s="133">
        <v>45023</v>
      </c>
      <c r="E8" s="18" t="s">
        <v>135</v>
      </c>
      <c r="F8" s="134">
        <v>1621000</v>
      </c>
      <c r="G8" s="116"/>
      <c r="H8" s="17"/>
      <c r="I8" s="17"/>
      <c r="J8" s="117"/>
      <c r="K8" s="17"/>
    </row>
    <row r="9" spans="1:11">
      <c r="A9" s="17">
        <v>3</v>
      </c>
      <c r="B9" s="18"/>
      <c r="C9" s="18" t="s">
        <v>325</v>
      </c>
      <c r="D9" s="133">
        <v>45023</v>
      </c>
      <c r="E9" s="18" t="s">
        <v>135</v>
      </c>
      <c r="F9" s="134">
        <v>233000</v>
      </c>
      <c r="G9" s="116"/>
      <c r="H9" s="17"/>
      <c r="I9" s="17"/>
      <c r="J9" s="117"/>
      <c r="K9" s="17"/>
    </row>
    <row r="10" spans="1:11">
      <c r="A10" s="17">
        <v>4</v>
      </c>
      <c r="B10" s="18"/>
      <c r="C10" s="18" t="s">
        <v>337</v>
      </c>
      <c r="D10" s="18" t="s">
        <v>338</v>
      </c>
      <c r="E10" s="18" t="s">
        <v>135</v>
      </c>
      <c r="F10" s="134">
        <v>1136000</v>
      </c>
      <c r="G10" s="116"/>
      <c r="H10" s="17"/>
      <c r="I10" s="17"/>
      <c r="J10" s="117"/>
      <c r="K10" s="17"/>
    </row>
    <row r="11" spans="1:11">
      <c r="A11" s="17">
        <v>5</v>
      </c>
      <c r="B11" s="18"/>
      <c r="C11" s="17">
        <v>5396</v>
      </c>
      <c r="D11" s="17" t="s">
        <v>339</v>
      </c>
      <c r="E11" s="18" t="s">
        <v>135</v>
      </c>
      <c r="F11" s="132">
        <v>100000</v>
      </c>
      <c r="G11" s="116"/>
      <c r="H11" s="17" t="s">
        <v>75</v>
      </c>
      <c r="I11" s="17"/>
      <c r="J11" s="117"/>
      <c r="K11" s="17"/>
    </row>
    <row r="12" spans="1:11">
      <c r="A12" s="17">
        <v>6</v>
      </c>
      <c r="B12" s="18"/>
      <c r="C12" s="17">
        <v>5426</v>
      </c>
      <c r="D12" s="17" t="s">
        <v>340</v>
      </c>
      <c r="E12" s="18" t="s">
        <v>135</v>
      </c>
      <c r="F12" s="132">
        <v>1570000</v>
      </c>
      <c r="G12" s="116"/>
      <c r="H12" s="17" t="s">
        <v>75</v>
      </c>
      <c r="I12" s="17"/>
      <c r="J12" s="117"/>
      <c r="K12" s="17"/>
    </row>
    <row r="13" spans="1:11">
      <c r="A13" s="17">
        <v>7</v>
      </c>
      <c r="B13" s="18"/>
      <c r="C13" s="17">
        <v>5666</v>
      </c>
      <c r="D13" s="17" t="s">
        <v>151</v>
      </c>
      <c r="E13" s="18" t="s">
        <v>356</v>
      </c>
      <c r="F13" s="132">
        <v>125000</v>
      </c>
      <c r="G13" s="116"/>
      <c r="H13" s="17" t="s">
        <v>75</v>
      </c>
      <c r="I13" s="17"/>
      <c r="J13" s="117"/>
      <c r="K13" s="17"/>
    </row>
    <row r="14" spans="1:11" ht="34.799999999999997">
      <c r="A14" s="17">
        <v>8</v>
      </c>
      <c r="B14" s="17"/>
      <c r="C14" s="98">
        <v>6488</v>
      </c>
      <c r="D14" s="135">
        <v>45601</v>
      </c>
      <c r="E14" s="99" t="s">
        <v>519</v>
      </c>
      <c r="F14" s="100">
        <v>840000</v>
      </c>
      <c r="G14" s="101"/>
      <c r="H14" s="98" t="s">
        <v>75</v>
      </c>
      <c r="I14" s="17"/>
      <c r="J14" s="117"/>
      <c r="K14" s="17"/>
    </row>
    <row r="15" spans="1:11" ht="34.799999999999997">
      <c r="A15" s="17">
        <v>9</v>
      </c>
      <c r="B15" s="18"/>
      <c r="C15" s="18">
        <v>1093</v>
      </c>
      <c r="D15" s="133">
        <v>46145</v>
      </c>
      <c r="E15" s="18" t="s">
        <v>1238</v>
      </c>
      <c r="F15" s="134">
        <v>640000</v>
      </c>
      <c r="G15" s="116"/>
      <c r="H15" s="17" t="s">
        <v>75</v>
      </c>
      <c r="I15" s="17"/>
      <c r="J15" s="117"/>
      <c r="K15" s="17"/>
    </row>
    <row r="16" spans="1:11" ht="52.2">
      <c r="A16" s="17">
        <v>10</v>
      </c>
      <c r="B16" s="18"/>
      <c r="C16" s="17">
        <v>1158</v>
      </c>
      <c r="D16" s="17" t="s">
        <v>1241</v>
      </c>
      <c r="E16" s="18" t="s">
        <v>1246</v>
      </c>
      <c r="F16" s="132">
        <v>170000</v>
      </c>
      <c r="G16" s="116"/>
      <c r="H16" s="17" t="s">
        <v>75</v>
      </c>
      <c r="I16" s="17"/>
      <c r="J16" s="117"/>
      <c r="K16" s="17"/>
    </row>
    <row r="17" spans="1:11" ht="37.200000000000003" customHeight="1">
      <c r="A17" s="17">
        <v>11</v>
      </c>
      <c r="B17" s="18"/>
      <c r="C17" s="17">
        <v>1281</v>
      </c>
      <c r="D17" s="17" t="s">
        <v>1256</v>
      </c>
      <c r="E17" s="18" t="s">
        <v>1263</v>
      </c>
      <c r="F17" s="132">
        <v>65000</v>
      </c>
      <c r="G17" s="116"/>
      <c r="H17" s="17" t="s">
        <v>75</v>
      </c>
      <c r="I17" s="17"/>
      <c r="J17" s="117"/>
      <c r="K17" s="17"/>
    </row>
    <row r="18" spans="1:11">
      <c r="A18" s="17">
        <v>12</v>
      </c>
      <c r="B18" s="18"/>
      <c r="C18" s="18"/>
      <c r="D18" s="18"/>
      <c r="E18" s="18"/>
      <c r="F18" s="13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116"/>
      <c r="H24" s="17"/>
      <c r="I24" s="17"/>
      <c r="J24" s="117"/>
      <c r="K24" s="17"/>
    </row>
    <row r="25" spans="1:11">
      <c r="A25" s="108"/>
      <c r="B25" s="204" t="s">
        <v>98</v>
      </c>
      <c r="C25" s="204"/>
      <c r="D25" s="108"/>
      <c r="E25" s="118"/>
      <c r="F25" s="119">
        <f>SUM(F7:F24)</f>
        <v>7303000</v>
      </c>
      <c r="G25" s="120">
        <f>SUM(G7:G24)</f>
        <v>0</v>
      </c>
      <c r="H25" s="108"/>
      <c r="I25" s="108"/>
      <c r="J25" s="121"/>
      <c r="K25" s="108"/>
    </row>
    <row r="26" spans="1:11">
      <c r="J26" s="115"/>
    </row>
    <row r="27" spans="1:11">
      <c r="J27" s="115"/>
    </row>
    <row r="28" spans="1:11">
      <c r="J28" s="115"/>
    </row>
    <row r="29" spans="1:11">
      <c r="J29" s="115"/>
    </row>
    <row r="30" spans="1:11">
      <c r="J30" s="115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25:C25"/>
  </mergeCells>
  <hyperlinks>
    <hyperlink ref="K2" location="الاليات!A1" display="الاليات " xr:uid="{00000000-0004-0000-6A00-000000000000}"/>
  </hyperlinks>
  <pageMargins left="0.7" right="0.7" top="0.75" bottom="0.75" header="0.3" footer="0.3"/>
  <pageSetup paperSize="9" scale="85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2.6640625" style="1" bestFit="1" customWidth="1"/>
    <col min="3" max="3" width="16.21875" style="1" bestFit="1" customWidth="1"/>
    <col min="4" max="4" width="12.77734375" style="1" bestFit="1" customWidth="1"/>
    <col min="5" max="5" width="26.77734375" style="73" bestFit="1" customWidth="1"/>
    <col min="6" max="6" width="16.33203125" style="114" bestFit="1" customWidth="1"/>
    <col min="7" max="7" width="7.664062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102</v>
      </c>
      <c r="B2" s="202" t="s">
        <v>48</v>
      </c>
      <c r="C2" s="203"/>
      <c r="D2" s="138"/>
      <c r="E2" s="86" t="s">
        <v>8</v>
      </c>
      <c r="F2" s="87">
        <v>1996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23" t="s">
        <v>957</v>
      </c>
      <c r="D3" s="35"/>
      <c r="E3" s="86" t="s">
        <v>68</v>
      </c>
      <c r="F3" s="140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5365</v>
      </c>
      <c r="D7" s="130">
        <v>45268</v>
      </c>
      <c r="E7" s="18" t="s">
        <v>135</v>
      </c>
      <c r="F7" s="132">
        <v>125000</v>
      </c>
      <c r="G7" s="25">
        <v>3500</v>
      </c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5426</v>
      </c>
      <c r="D8" s="17" t="s">
        <v>340</v>
      </c>
      <c r="E8" s="18" t="s">
        <v>135</v>
      </c>
      <c r="F8" s="132">
        <v>145000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5426</v>
      </c>
      <c r="D9" s="17" t="s">
        <v>340</v>
      </c>
      <c r="E9" s="18" t="s">
        <v>135</v>
      </c>
      <c r="F9" s="132">
        <v>450000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7" t="s">
        <v>353</v>
      </c>
      <c r="D10" s="130">
        <v>45270</v>
      </c>
      <c r="E10" s="18" t="s">
        <v>354</v>
      </c>
      <c r="F10" s="132">
        <v>25000</v>
      </c>
      <c r="G10" s="25"/>
      <c r="H10" s="17"/>
      <c r="I10" s="17"/>
      <c r="J10" s="117"/>
      <c r="K10" s="17"/>
    </row>
    <row r="11" spans="1:11">
      <c r="A11" s="17">
        <v>5</v>
      </c>
      <c r="B11" s="17"/>
      <c r="C11" s="17" t="s">
        <v>357</v>
      </c>
      <c r="D11" s="17" t="s">
        <v>151</v>
      </c>
      <c r="E11" s="18" t="s">
        <v>359</v>
      </c>
      <c r="F11" s="132">
        <v>15000</v>
      </c>
      <c r="G11" s="25"/>
      <c r="H11" s="17"/>
      <c r="I11" s="17"/>
      <c r="J11" s="117"/>
      <c r="K11" s="17"/>
    </row>
    <row r="12" spans="1:11">
      <c r="A12" s="17">
        <v>6</v>
      </c>
      <c r="B12" s="17"/>
      <c r="C12" s="17" t="s">
        <v>376</v>
      </c>
      <c r="D12" s="17" t="s">
        <v>373</v>
      </c>
      <c r="E12" s="18" t="s">
        <v>379</v>
      </c>
      <c r="F12" s="132">
        <v>25000</v>
      </c>
      <c r="G12" s="25"/>
      <c r="H12" s="17"/>
      <c r="I12" s="17"/>
      <c r="J12" s="117"/>
      <c r="K12" s="17"/>
    </row>
    <row r="13" spans="1:11" ht="52.2">
      <c r="A13" s="17">
        <v>7</v>
      </c>
      <c r="B13" s="17"/>
      <c r="C13" s="17">
        <v>6263</v>
      </c>
      <c r="D13" s="130">
        <v>45325</v>
      </c>
      <c r="E13" s="18" t="s">
        <v>458</v>
      </c>
      <c r="F13" s="132">
        <v>1100000</v>
      </c>
      <c r="G13" s="25"/>
      <c r="H13" s="17" t="s">
        <v>75</v>
      </c>
      <c r="I13" s="17"/>
      <c r="J13" s="117"/>
      <c r="K13" s="17"/>
    </row>
    <row r="14" spans="1:11" ht="243.6">
      <c r="A14" s="17">
        <v>8</v>
      </c>
      <c r="B14" s="17"/>
      <c r="C14" s="17">
        <v>6317</v>
      </c>
      <c r="D14" s="17" t="s">
        <v>430</v>
      </c>
      <c r="E14" s="18" t="s">
        <v>457</v>
      </c>
      <c r="F14" s="132">
        <v>6850000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7">
        <v>6317</v>
      </c>
      <c r="D15" s="17" t="s">
        <v>430</v>
      </c>
      <c r="E15" s="18" t="s">
        <v>406</v>
      </c>
      <c r="F15" s="132">
        <v>325000</v>
      </c>
      <c r="G15" s="25"/>
      <c r="H15" s="17" t="s">
        <v>75</v>
      </c>
      <c r="I15" s="17"/>
      <c r="J15" s="117"/>
      <c r="K15" s="17"/>
    </row>
    <row r="16" spans="1:11" ht="52.2">
      <c r="A16" s="17">
        <v>10</v>
      </c>
      <c r="B16" s="17"/>
      <c r="C16" s="17">
        <v>6381</v>
      </c>
      <c r="D16" s="17" t="s">
        <v>501</v>
      </c>
      <c r="E16" s="18" t="s">
        <v>505</v>
      </c>
      <c r="F16" s="132">
        <v>460000</v>
      </c>
      <c r="G16" s="25"/>
      <c r="H16" s="17" t="s">
        <v>75</v>
      </c>
      <c r="I16" s="17"/>
      <c r="J16" s="117"/>
      <c r="K16" s="17"/>
    </row>
    <row r="17" spans="1:11" ht="34.799999999999997">
      <c r="A17" s="17">
        <v>11</v>
      </c>
      <c r="B17" s="17"/>
      <c r="C17" s="98">
        <v>6758</v>
      </c>
      <c r="D17" s="98" t="s">
        <v>545</v>
      </c>
      <c r="E17" s="99" t="s">
        <v>550</v>
      </c>
      <c r="F17" s="100">
        <v>160000</v>
      </c>
      <c r="G17" s="101"/>
      <c r="H17" s="98" t="s">
        <v>75</v>
      </c>
      <c r="I17" s="17"/>
      <c r="J17" s="117"/>
      <c r="K17" s="17"/>
    </row>
    <row r="18" spans="1:11" ht="52.2">
      <c r="A18" s="17">
        <v>12</v>
      </c>
      <c r="B18" s="17"/>
      <c r="C18" s="98">
        <v>7717</v>
      </c>
      <c r="D18" s="135">
        <v>45676</v>
      </c>
      <c r="E18" s="99" t="s">
        <v>683</v>
      </c>
      <c r="F18" s="100">
        <v>470000</v>
      </c>
      <c r="G18" s="127"/>
      <c r="H18" s="98" t="s">
        <v>75</v>
      </c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132"/>
      <c r="G19" s="25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132"/>
      <c r="G20" s="25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132"/>
      <c r="G21" s="25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132"/>
      <c r="G22" s="25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132"/>
      <c r="G23" s="25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132"/>
      <c r="G24" s="25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132"/>
      <c r="G25" s="25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132"/>
      <c r="G26" s="25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132"/>
      <c r="G27" s="25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132"/>
      <c r="G28" s="25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132"/>
      <c r="G30" s="25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132"/>
      <c r="G31" s="25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132"/>
      <c r="G32" s="25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08"/>
      <c r="B47" s="204" t="s">
        <v>98</v>
      </c>
      <c r="C47" s="204"/>
      <c r="D47" s="108"/>
      <c r="E47" s="118"/>
      <c r="F47" s="119">
        <f>SUM(F7:F46)</f>
        <v>10150000</v>
      </c>
      <c r="G47" s="120">
        <f>SUM(G7:G46)</f>
        <v>3500</v>
      </c>
      <c r="H47" s="108"/>
      <c r="I47" s="108"/>
      <c r="J47" s="121"/>
      <c r="K47" s="108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47:C47"/>
  </mergeCells>
  <hyperlinks>
    <hyperlink ref="K2" location="الاليات!A1" display="الاليات " xr:uid="{00000000-0004-0000-6B00-000000000000}"/>
  </hyperlinks>
  <pageMargins left="0.7" right="0.7" top="0.75" bottom="0.75" header="0.3" footer="0.3"/>
  <pageSetup paperSize="9" scale="40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K118"/>
  <sheetViews>
    <sheetView rightToLeft="1" view="pageBreakPreview" zoomScale="140" zoomScaleNormal="130" zoomScaleSheetLayoutView="140" workbookViewId="0">
      <selection activeCell="K2" sqref="K2"/>
    </sheetView>
  </sheetViews>
  <sheetFormatPr defaultColWidth="9.109375" defaultRowHeight="17.399999999999999"/>
  <cols>
    <col min="1" max="1" width="4.77734375" style="1" bestFit="1" customWidth="1"/>
    <col min="2" max="2" width="12.6640625" style="1" bestFit="1" customWidth="1"/>
    <col min="3" max="4" width="13" style="1" bestFit="1" customWidth="1"/>
    <col min="5" max="5" width="28.21875" style="73" bestFit="1" customWidth="1"/>
    <col min="6" max="6" width="16.44140625" style="114" bestFit="1" customWidth="1"/>
    <col min="7" max="7" width="7.88671875" style="79" bestFit="1" customWidth="1"/>
    <col min="8" max="8" width="13.44140625" style="1" bestFit="1" customWidth="1"/>
    <col min="9" max="9" width="9.554687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103</v>
      </c>
      <c r="B2" s="202" t="s">
        <v>13</v>
      </c>
      <c r="C2" s="203"/>
      <c r="D2" s="138"/>
      <c r="E2" s="86" t="s">
        <v>8</v>
      </c>
      <c r="F2" s="87">
        <v>1998</v>
      </c>
      <c r="G2" s="139"/>
      <c r="H2" s="89" t="s">
        <v>100</v>
      </c>
      <c r="I2" s="35"/>
      <c r="J2" s="17"/>
      <c r="K2" s="90" t="s">
        <v>102</v>
      </c>
    </row>
    <row r="3" spans="1:11">
      <c r="A3" s="35"/>
      <c r="B3" s="89" t="s">
        <v>99</v>
      </c>
      <c r="C3" s="17" t="s">
        <v>78</v>
      </c>
      <c r="D3" s="35"/>
      <c r="E3" s="86" t="s">
        <v>68</v>
      </c>
      <c r="F3" s="87" t="s">
        <v>70</v>
      </c>
      <c r="G3" s="139"/>
      <c r="H3" s="89" t="s">
        <v>824</v>
      </c>
      <c r="I3" s="35"/>
      <c r="J3" s="17"/>
      <c r="K3" s="17"/>
    </row>
    <row r="4" spans="1:11">
      <c r="A4" s="35"/>
      <c r="B4" s="35"/>
      <c r="C4" s="35"/>
      <c r="D4" s="35"/>
      <c r="E4" s="40"/>
      <c r="F4" s="140"/>
      <c r="G4" s="141"/>
      <c r="H4" s="17"/>
      <c r="I4" s="17"/>
      <c r="J4" s="17"/>
      <c r="K4" s="17"/>
    </row>
    <row r="5" spans="1:11">
      <c r="A5" s="35"/>
      <c r="B5" s="17" t="s">
        <v>855</v>
      </c>
      <c r="C5" s="35" t="s">
        <v>847</v>
      </c>
      <c r="D5" s="35"/>
      <c r="E5" s="40"/>
      <c r="F5" s="142"/>
      <c r="G5" s="141"/>
      <c r="H5" s="17"/>
      <c r="I5" s="117"/>
      <c r="J5" s="17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 t="s">
        <v>75</v>
      </c>
      <c r="C7" s="17">
        <v>4266</v>
      </c>
      <c r="D7" s="130">
        <v>45047</v>
      </c>
      <c r="E7" s="18" t="s">
        <v>196</v>
      </c>
      <c r="F7" s="132">
        <v>75000</v>
      </c>
      <c r="G7" s="25">
        <v>300</v>
      </c>
      <c r="H7" s="17" t="s">
        <v>75</v>
      </c>
      <c r="I7" s="17"/>
      <c r="J7" s="117"/>
      <c r="K7" s="17"/>
    </row>
    <row r="8" spans="1:11">
      <c r="A8" s="17">
        <v>2</v>
      </c>
      <c r="B8" s="17"/>
      <c r="C8" s="17" t="s">
        <v>262</v>
      </c>
      <c r="D8" s="130">
        <v>45262</v>
      </c>
      <c r="E8" s="18" t="s">
        <v>263</v>
      </c>
      <c r="F8" s="132">
        <v>600000</v>
      </c>
      <c r="G8" s="25"/>
      <c r="H8" s="17"/>
      <c r="I8" s="17"/>
      <c r="J8" s="117"/>
      <c r="K8" s="17"/>
    </row>
    <row r="9" spans="1:11">
      <c r="A9" s="17">
        <v>3</v>
      </c>
      <c r="B9" s="17"/>
      <c r="C9" s="17" t="s">
        <v>262</v>
      </c>
      <c r="D9" s="130">
        <v>45262</v>
      </c>
      <c r="E9" s="18" t="s">
        <v>263</v>
      </c>
      <c r="F9" s="132">
        <v>300000</v>
      </c>
      <c r="G9" s="25"/>
      <c r="H9" s="17"/>
      <c r="I9" s="17"/>
      <c r="J9" s="117"/>
      <c r="K9" s="17"/>
    </row>
    <row r="10" spans="1:11">
      <c r="A10" s="17">
        <v>4</v>
      </c>
      <c r="B10" s="17"/>
      <c r="C10" s="17" t="s">
        <v>262</v>
      </c>
      <c r="D10" s="130" t="s">
        <v>273</v>
      </c>
      <c r="E10" s="18" t="s">
        <v>275</v>
      </c>
      <c r="F10" s="132">
        <v>621000</v>
      </c>
      <c r="G10" s="25"/>
      <c r="H10" s="17"/>
      <c r="I10" s="17"/>
      <c r="J10" s="117"/>
      <c r="K10" s="17"/>
    </row>
    <row r="11" spans="1:11">
      <c r="A11" s="17">
        <v>5</v>
      </c>
      <c r="B11" s="17"/>
      <c r="C11" s="17">
        <v>4742</v>
      </c>
      <c r="D11" s="130">
        <v>45203</v>
      </c>
      <c r="E11" s="18" t="s">
        <v>285</v>
      </c>
      <c r="F11" s="132"/>
      <c r="G11" s="25">
        <v>250</v>
      </c>
      <c r="H11" s="17"/>
      <c r="I11" s="17"/>
      <c r="J11" s="117"/>
      <c r="K11" s="17"/>
    </row>
    <row r="12" spans="1:11">
      <c r="A12" s="17">
        <v>6</v>
      </c>
      <c r="B12" s="17"/>
      <c r="C12" s="17">
        <v>4765</v>
      </c>
      <c r="D12" s="130">
        <v>45050</v>
      </c>
      <c r="E12" s="18" t="s">
        <v>286</v>
      </c>
      <c r="F12" s="132">
        <v>60000</v>
      </c>
      <c r="G12" s="25"/>
      <c r="H12" s="17"/>
      <c r="I12" s="17"/>
      <c r="J12" s="117"/>
      <c r="K12" s="17"/>
    </row>
    <row r="13" spans="1:11">
      <c r="A13" s="17">
        <v>7</v>
      </c>
      <c r="B13" s="17"/>
      <c r="C13" s="17">
        <v>4765</v>
      </c>
      <c r="D13" s="130">
        <v>45050</v>
      </c>
      <c r="E13" s="18" t="s">
        <v>135</v>
      </c>
      <c r="F13" s="132">
        <v>3277000</v>
      </c>
      <c r="G13" s="25"/>
      <c r="H13" s="17"/>
      <c r="I13" s="17"/>
      <c r="J13" s="117"/>
      <c r="K13" s="17"/>
    </row>
    <row r="14" spans="1:11">
      <c r="A14" s="17">
        <v>8</v>
      </c>
      <c r="B14" s="17"/>
      <c r="C14" s="17">
        <v>4880</v>
      </c>
      <c r="D14" s="130">
        <v>45082</v>
      </c>
      <c r="E14" s="18" t="s">
        <v>297</v>
      </c>
      <c r="F14" s="132">
        <v>110000</v>
      </c>
      <c r="G14" s="25"/>
      <c r="H14" s="117" t="s">
        <v>75</v>
      </c>
      <c r="I14" s="17"/>
      <c r="J14" s="117"/>
      <c r="K14" s="17"/>
    </row>
    <row r="15" spans="1:11">
      <c r="A15" s="17">
        <v>9</v>
      </c>
      <c r="B15" s="17"/>
      <c r="C15" s="17">
        <v>4984</v>
      </c>
      <c r="D15" s="17" t="s">
        <v>302</v>
      </c>
      <c r="E15" s="18" t="s">
        <v>304</v>
      </c>
      <c r="F15" s="132">
        <v>75000</v>
      </c>
      <c r="G15" s="25"/>
      <c r="H15" s="17" t="s">
        <v>75</v>
      </c>
      <c r="I15" s="17"/>
      <c r="J15" s="117"/>
      <c r="K15" s="17"/>
    </row>
    <row r="16" spans="1:11" ht="52.2">
      <c r="A16" s="17">
        <v>10</v>
      </c>
      <c r="B16" s="17"/>
      <c r="C16" s="17">
        <v>4984</v>
      </c>
      <c r="D16" s="17" t="s">
        <v>302</v>
      </c>
      <c r="E16" s="18" t="s">
        <v>452</v>
      </c>
      <c r="F16" s="132">
        <v>150000</v>
      </c>
      <c r="G16" s="25"/>
      <c r="H16" s="17" t="s">
        <v>75</v>
      </c>
      <c r="I16" s="17"/>
      <c r="J16" s="117"/>
      <c r="K16" s="17"/>
    </row>
    <row r="17" spans="1:11" ht="69.599999999999994">
      <c r="A17" s="17">
        <v>11</v>
      </c>
      <c r="B17" s="17"/>
      <c r="C17" s="17">
        <v>4984</v>
      </c>
      <c r="D17" s="17" t="s">
        <v>302</v>
      </c>
      <c r="E17" s="18" t="s">
        <v>451</v>
      </c>
      <c r="F17" s="132"/>
      <c r="G17" s="25">
        <v>1800</v>
      </c>
      <c r="H17" s="17" t="s">
        <v>75</v>
      </c>
      <c r="I17" s="17"/>
      <c r="J17" s="117"/>
      <c r="K17" s="17"/>
    </row>
    <row r="18" spans="1:11">
      <c r="A18" s="17">
        <v>12</v>
      </c>
      <c r="B18" s="17"/>
      <c r="C18" s="17">
        <v>4984</v>
      </c>
      <c r="D18" s="17" t="s">
        <v>302</v>
      </c>
      <c r="E18" s="18" t="s">
        <v>450</v>
      </c>
      <c r="F18" s="132">
        <v>190000</v>
      </c>
      <c r="G18" s="25"/>
      <c r="H18" s="17" t="s">
        <v>75</v>
      </c>
      <c r="I18" s="17"/>
      <c r="J18" s="117"/>
      <c r="K18" s="17"/>
    </row>
    <row r="19" spans="1:11" ht="34.799999999999997">
      <c r="A19" s="17">
        <v>13</v>
      </c>
      <c r="B19" s="17"/>
      <c r="C19" s="17">
        <v>4984</v>
      </c>
      <c r="D19" s="17" t="s">
        <v>302</v>
      </c>
      <c r="E19" s="18" t="s">
        <v>449</v>
      </c>
      <c r="F19" s="132">
        <v>725000</v>
      </c>
      <c r="G19" s="25"/>
      <c r="H19" s="17" t="s">
        <v>75</v>
      </c>
      <c r="I19" s="17"/>
      <c r="J19" s="117"/>
      <c r="K19" s="17"/>
    </row>
    <row r="20" spans="1:11" ht="34.799999999999997">
      <c r="A20" s="17">
        <v>14</v>
      </c>
      <c r="B20" s="17"/>
      <c r="C20" s="17">
        <v>9434</v>
      </c>
      <c r="D20" s="130">
        <v>45874</v>
      </c>
      <c r="E20" s="18" t="s">
        <v>1000</v>
      </c>
      <c r="F20" s="132">
        <v>735000</v>
      </c>
      <c r="G20" s="25"/>
      <c r="H20" s="17" t="s">
        <v>75</v>
      </c>
      <c r="I20" s="17"/>
      <c r="J20" s="117"/>
      <c r="K20" s="17"/>
    </row>
    <row r="21" spans="1:11">
      <c r="A21" s="17">
        <v>15</v>
      </c>
      <c r="B21" s="17"/>
      <c r="C21" s="98">
        <v>9539</v>
      </c>
      <c r="D21" s="135">
        <v>45890</v>
      </c>
      <c r="E21" s="99" t="s">
        <v>1019</v>
      </c>
      <c r="F21" s="100">
        <v>275000</v>
      </c>
      <c r="G21" s="101"/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98">
        <v>9539</v>
      </c>
      <c r="D22" s="135">
        <v>45890</v>
      </c>
      <c r="E22" s="18" t="s">
        <v>1018</v>
      </c>
      <c r="F22" s="24">
        <v>1200000</v>
      </c>
      <c r="G22" s="116"/>
      <c r="H22" s="102" t="s">
        <v>75</v>
      </c>
      <c r="I22" s="17"/>
      <c r="J22" s="117"/>
      <c r="K22" s="17"/>
    </row>
    <row r="23" spans="1:11">
      <c r="A23" s="17">
        <v>17</v>
      </c>
      <c r="B23" s="17"/>
      <c r="C23" s="98">
        <v>9738</v>
      </c>
      <c r="D23" s="135">
        <v>45913</v>
      </c>
      <c r="E23" s="99" t="s">
        <v>1043</v>
      </c>
      <c r="F23" s="100">
        <v>285000</v>
      </c>
      <c r="G23" s="101"/>
      <c r="H23" s="98" t="s">
        <v>75</v>
      </c>
      <c r="I23" s="17"/>
      <c r="J23" s="117"/>
      <c r="K23" s="17"/>
    </row>
    <row r="24" spans="1:11" ht="34.799999999999997">
      <c r="A24" s="17">
        <v>18</v>
      </c>
      <c r="B24" s="17"/>
      <c r="C24" s="17">
        <v>9920</v>
      </c>
      <c r="D24" s="130">
        <v>45931</v>
      </c>
      <c r="E24" s="18" t="s">
        <v>1052</v>
      </c>
      <c r="F24" s="132">
        <v>295000</v>
      </c>
      <c r="G24" s="25"/>
      <c r="H24" s="17" t="s">
        <v>75</v>
      </c>
      <c r="I24" s="17"/>
      <c r="J24" s="117"/>
      <c r="K24" s="17"/>
    </row>
    <row r="25" spans="1:11">
      <c r="A25" s="17">
        <v>19</v>
      </c>
      <c r="B25" s="17"/>
      <c r="C25" s="17">
        <v>519</v>
      </c>
      <c r="D25" s="130">
        <v>46004</v>
      </c>
      <c r="E25" s="18" t="s">
        <v>1119</v>
      </c>
      <c r="F25" s="132">
        <v>80000</v>
      </c>
      <c r="G25" s="25"/>
      <c r="H25" s="17" t="s">
        <v>75</v>
      </c>
      <c r="I25" s="17"/>
      <c r="J25" s="117"/>
      <c r="K25" s="17"/>
    </row>
    <row r="26" spans="1:11">
      <c r="A26" s="17">
        <v>20</v>
      </c>
      <c r="B26" s="17"/>
      <c r="C26" s="98">
        <v>668</v>
      </c>
      <c r="D26" s="135">
        <v>46082</v>
      </c>
      <c r="E26" s="99" t="s">
        <v>1161</v>
      </c>
      <c r="F26" s="100">
        <v>65000</v>
      </c>
      <c r="G26" s="101"/>
      <c r="H26" s="98" t="s">
        <v>75</v>
      </c>
      <c r="I26" s="17"/>
      <c r="J26" s="117"/>
      <c r="K26" s="17"/>
    </row>
    <row r="27" spans="1:11" ht="34.799999999999997">
      <c r="A27" s="17">
        <v>21</v>
      </c>
      <c r="B27" s="17"/>
      <c r="C27" s="98">
        <v>794</v>
      </c>
      <c r="D27" s="98" t="s">
        <v>1178</v>
      </c>
      <c r="E27" s="99" t="s">
        <v>1181</v>
      </c>
      <c r="F27" s="100">
        <v>955000</v>
      </c>
      <c r="G27" s="101"/>
      <c r="H27" s="98" t="s">
        <v>75</v>
      </c>
      <c r="I27" s="17"/>
      <c r="J27" s="117"/>
      <c r="K27" s="17"/>
    </row>
    <row r="28" spans="1:11">
      <c r="A28" s="17">
        <v>22</v>
      </c>
      <c r="B28" s="17"/>
      <c r="C28" s="17">
        <v>1093</v>
      </c>
      <c r="D28" s="130">
        <v>46086</v>
      </c>
      <c r="E28" s="18" t="s">
        <v>1227</v>
      </c>
      <c r="F28" s="132">
        <v>450000</v>
      </c>
      <c r="G28" s="25"/>
      <c r="H28" s="17" t="s">
        <v>75</v>
      </c>
      <c r="I28" s="17"/>
      <c r="J28" s="117"/>
      <c r="K28" s="17"/>
    </row>
    <row r="29" spans="1:11">
      <c r="A29" s="17">
        <v>23</v>
      </c>
      <c r="B29" s="17"/>
      <c r="C29" s="17">
        <v>1093</v>
      </c>
      <c r="D29" s="130">
        <v>46086</v>
      </c>
      <c r="E29" s="18" t="s">
        <v>1230</v>
      </c>
      <c r="F29" s="132">
        <v>335000</v>
      </c>
      <c r="G29" s="25"/>
      <c r="H29" s="17" t="s">
        <v>75</v>
      </c>
      <c r="I29" s="17"/>
      <c r="J29" s="117"/>
      <c r="K29" s="17"/>
    </row>
    <row r="30" spans="1:11">
      <c r="A30" s="17">
        <v>24</v>
      </c>
      <c r="B30" s="17"/>
      <c r="C30" s="17">
        <v>1158</v>
      </c>
      <c r="D30" s="17" t="s">
        <v>1241</v>
      </c>
      <c r="E30" s="18" t="s">
        <v>1227</v>
      </c>
      <c r="F30" s="132">
        <v>290000</v>
      </c>
      <c r="G30" s="116"/>
      <c r="H30" s="17" t="s">
        <v>75</v>
      </c>
      <c r="I30" s="17"/>
      <c r="J30" s="117"/>
      <c r="K30" s="17"/>
    </row>
    <row r="31" spans="1:11" ht="52.2">
      <c r="A31" s="17">
        <v>25</v>
      </c>
      <c r="B31" s="17"/>
      <c r="C31" s="17">
        <v>1281</v>
      </c>
      <c r="D31" s="17" t="s">
        <v>1256</v>
      </c>
      <c r="E31" s="18" t="s">
        <v>1270</v>
      </c>
      <c r="F31" s="132">
        <v>875000</v>
      </c>
      <c r="G31" s="25"/>
      <c r="H31" s="17" t="s">
        <v>75</v>
      </c>
      <c r="I31" s="17"/>
      <c r="J31" s="117"/>
      <c r="K31" s="17"/>
    </row>
    <row r="32" spans="1:11" ht="34.799999999999997">
      <c r="A32" s="17">
        <v>26</v>
      </c>
      <c r="B32" s="17"/>
      <c r="C32" s="17">
        <v>1428</v>
      </c>
      <c r="D32" s="17" t="s">
        <v>1286</v>
      </c>
      <c r="E32" s="18" t="s">
        <v>1292</v>
      </c>
      <c r="F32" s="132">
        <v>600000</v>
      </c>
      <c r="G32" s="25"/>
      <c r="H32" s="17" t="s">
        <v>75</v>
      </c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132"/>
      <c r="G33" s="25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132"/>
      <c r="G34" s="25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132"/>
      <c r="G35" s="25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132"/>
      <c r="G36" s="25"/>
      <c r="H36" s="17"/>
      <c r="I36" s="17"/>
      <c r="J36" s="117"/>
      <c r="K36" s="17"/>
    </row>
    <row r="37" spans="1:11">
      <c r="A37" s="17">
        <v>31</v>
      </c>
      <c r="B37" s="17"/>
      <c r="C37" s="17"/>
      <c r="D37" s="17"/>
      <c r="E37" s="18"/>
      <c r="F37" s="132"/>
      <c r="G37" s="25"/>
      <c r="H37" s="17"/>
      <c r="I37" s="17"/>
      <c r="J37" s="117"/>
      <c r="K37" s="17"/>
    </row>
    <row r="38" spans="1:11">
      <c r="A38" s="17">
        <v>32</v>
      </c>
      <c r="B38" s="17"/>
      <c r="C38" s="17"/>
      <c r="D38" s="17"/>
      <c r="E38" s="18"/>
      <c r="F38" s="132"/>
      <c r="G38" s="25"/>
      <c r="H38" s="17"/>
      <c r="I38" s="17"/>
      <c r="J38" s="117"/>
      <c r="K38" s="17"/>
    </row>
    <row r="39" spans="1:11">
      <c r="A39" s="17">
        <v>33</v>
      </c>
      <c r="B39" s="17"/>
      <c r="C39" s="17"/>
      <c r="D39" s="17"/>
      <c r="E39" s="18"/>
      <c r="F39" s="132"/>
      <c r="G39" s="25"/>
      <c r="H39" s="17"/>
      <c r="I39" s="17"/>
      <c r="J39" s="117"/>
      <c r="K39" s="17"/>
    </row>
    <row r="40" spans="1:11">
      <c r="A40" s="17">
        <v>34</v>
      </c>
      <c r="B40" s="17"/>
      <c r="C40" s="17"/>
      <c r="D40" s="17"/>
      <c r="E40" s="18"/>
      <c r="F40" s="132"/>
      <c r="G40" s="25"/>
      <c r="H40" s="17"/>
      <c r="I40" s="17"/>
      <c r="J40" s="117"/>
      <c r="K40" s="17"/>
    </row>
    <row r="41" spans="1:11">
      <c r="A41" s="17">
        <v>35</v>
      </c>
      <c r="B41" s="17"/>
      <c r="C41" s="17"/>
      <c r="D41" s="17"/>
      <c r="E41" s="18"/>
      <c r="F41" s="132"/>
      <c r="G41" s="25"/>
      <c r="H41" s="17"/>
      <c r="I41" s="17"/>
      <c r="J41" s="117"/>
      <c r="K41" s="17"/>
    </row>
    <row r="42" spans="1:11">
      <c r="A42" s="17">
        <v>36</v>
      </c>
      <c r="B42" s="17"/>
      <c r="C42" s="17"/>
      <c r="D42" s="17"/>
      <c r="E42" s="18"/>
      <c r="F42" s="132"/>
      <c r="G42" s="25"/>
      <c r="H42" s="17"/>
      <c r="I42" s="17"/>
      <c r="J42" s="117"/>
      <c r="K42" s="17"/>
    </row>
    <row r="43" spans="1:11">
      <c r="A43" s="17">
        <v>37</v>
      </c>
      <c r="B43" s="17"/>
      <c r="C43" s="17"/>
      <c r="D43" s="17"/>
      <c r="E43" s="18"/>
      <c r="F43" s="132"/>
      <c r="G43" s="25"/>
      <c r="H43" s="17"/>
      <c r="I43" s="17"/>
      <c r="J43" s="117"/>
      <c r="K43" s="17"/>
    </row>
    <row r="44" spans="1:11">
      <c r="A44" s="17">
        <v>38</v>
      </c>
      <c r="B44" s="17"/>
      <c r="C44" s="17"/>
      <c r="D44" s="17"/>
      <c r="E44" s="18"/>
      <c r="F44" s="132"/>
      <c r="G44" s="25"/>
      <c r="H44" s="17"/>
      <c r="I44" s="17"/>
      <c r="J44" s="117"/>
      <c r="K44" s="17"/>
    </row>
    <row r="45" spans="1:11">
      <c r="A45" s="17">
        <v>39</v>
      </c>
      <c r="B45" s="17"/>
      <c r="C45" s="17"/>
      <c r="D45" s="17"/>
      <c r="E45" s="18"/>
      <c r="F45" s="132"/>
      <c r="G45" s="25"/>
      <c r="H45" s="17"/>
      <c r="I45" s="17"/>
      <c r="J45" s="117"/>
      <c r="K45" s="17"/>
    </row>
    <row r="46" spans="1:11">
      <c r="A46" s="17">
        <v>40</v>
      </c>
      <c r="B46" s="17"/>
      <c r="C46" s="17"/>
      <c r="D46" s="17"/>
      <c r="E46" s="18"/>
      <c r="F46" s="132"/>
      <c r="G46" s="25"/>
      <c r="H46" s="17"/>
      <c r="I46" s="17"/>
      <c r="J46" s="117"/>
      <c r="K46" s="17"/>
    </row>
    <row r="47" spans="1:11">
      <c r="A47" s="17">
        <v>41</v>
      </c>
      <c r="B47" s="17"/>
      <c r="C47" s="17"/>
      <c r="D47" s="17"/>
      <c r="E47" s="18"/>
      <c r="F47" s="132"/>
      <c r="G47" s="25"/>
      <c r="H47" s="17"/>
      <c r="I47" s="17"/>
      <c r="J47" s="117"/>
      <c r="K47" s="17"/>
    </row>
    <row r="48" spans="1:11">
      <c r="A48" s="17">
        <v>42</v>
      </c>
      <c r="B48" s="17"/>
      <c r="C48" s="17"/>
      <c r="D48" s="17"/>
      <c r="E48" s="18"/>
      <c r="F48" s="132"/>
      <c r="G48" s="25"/>
      <c r="H48" s="17"/>
      <c r="I48" s="17"/>
      <c r="J48" s="117"/>
      <c r="K48" s="17"/>
    </row>
    <row r="49" spans="1:11">
      <c r="A49" s="17">
        <v>43</v>
      </c>
      <c r="B49" s="17"/>
      <c r="C49" s="17"/>
      <c r="D49" s="17"/>
      <c r="E49" s="18"/>
      <c r="F49" s="132"/>
      <c r="G49" s="25"/>
      <c r="H49" s="17"/>
      <c r="I49" s="17"/>
      <c r="J49" s="117"/>
      <c r="K49" s="17"/>
    </row>
    <row r="50" spans="1:11">
      <c r="A50" s="108"/>
      <c r="B50" s="204" t="s">
        <v>98</v>
      </c>
      <c r="C50" s="204"/>
      <c r="D50" s="108"/>
      <c r="E50" s="118"/>
      <c r="F50" s="119">
        <f>SUM(F7:F49)</f>
        <v>12623000</v>
      </c>
      <c r="G50" s="120">
        <f>SUM(G7:G49)</f>
        <v>2350</v>
      </c>
      <c r="H50" s="108"/>
      <c r="I50" s="108"/>
      <c r="J50" s="121"/>
      <c r="K50" s="108"/>
    </row>
    <row r="51" spans="1:11">
      <c r="J51" s="115"/>
    </row>
    <row r="52" spans="1:11">
      <c r="J52" s="115"/>
    </row>
    <row r="53" spans="1:11">
      <c r="J53" s="115"/>
    </row>
    <row r="54" spans="1:11">
      <c r="J54" s="115"/>
    </row>
    <row r="55" spans="1:11">
      <c r="J55" s="115"/>
    </row>
    <row r="56" spans="1:11">
      <c r="J56" s="115"/>
    </row>
    <row r="57" spans="1:11">
      <c r="J57" s="115"/>
    </row>
    <row r="58" spans="1:11">
      <c r="J58" s="115"/>
    </row>
    <row r="59" spans="1:11">
      <c r="J59" s="115"/>
    </row>
    <row r="60" spans="1:11">
      <c r="J60" s="115"/>
    </row>
    <row r="61" spans="1:11">
      <c r="J61" s="115"/>
    </row>
    <row r="62" spans="1:11">
      <c r="J62" s="115"/>
    </row>
    <row r="63" spans="1:11">
      <c r="J63" s="115"/>
    </row>
    <row r="64" spans="1:11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50:C50"/>
  </mergeCells>
  <hyperlinks>
    <hyperlink ref="K2" location="الاليات!A1" display="الاليات " xr:uid="{00000000-0004-0000-6C00-000000000000}"/>
  </hyperlinks>
  <pageMargins left="0.7" right="0.7" top="0.75" bottom="0.75" header="0.3" footer="0.3"/>
  <pageSetup paperSize="9" scale="43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K118"/>
  <sheetViews>
    <sheetView rightToLeft="1" view="pageBreakPreview" zoomScaleNormal="130" zoomScaleSheetLayoutView="100" workbookViewId="0">
      <selection activeCell="K2" sqref="K2"/>
    </sheetView>
  </sheetViews>
  <sheetFormatPr defaultColWidth="9.109375" defaultRowHeight="17.399999999999999"/>
  <cols>
    <col min="1" max="1" width="4.6640625" style="1" bestFit="1" customWidth="1"/>
    <col min="2" max="2" width="12.6640625" style="1" bestFit="1" customWidth="1"/>
    <col min="3" max="3" width="15.6640625" style="1" bestFit="1" customWidth="1"/>
    <col min="4" max="4" width="12.77734375" style="1" bestFit="1" customWidth="1"/>
    <col min="5" max="5" width="30.6640625" style="73" bestFit="1" customWidth="1"/>
    <col min="6" max="6" width="15.109375" style="114" bestFit="1" customWidth="1"/>
    <col min="7" max="7" width="7.6640625" style="79" bestFit="1" customWidth="1"/>
    <col min="8" max="8" width="13.44140625" style="1" bestFit="1" customWidth="1"/>
    <col min="9" max="9" width="9.44140625" style="1" bestFit="1" customWidth="1"/>
    <col min="10" max="10" width="5.332031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104</v>
      </c>
      <c r="B2" s="202" t="s">
        <v>13</v>
      </c>
      <c r="C2" s="203"/>
      <c r="D2" s="85"/>
      <c r="E2" s="86" t="s">
        <v>8</v>
      </c>
      <c r="F2" s="87">
        <v>2007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958</v>
      </c>
      <c r="D3" s="89"/>
      <c r="E3" s="86" t="s">
        <v>68</v>
      </c>
      <c r="F3" s="87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35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>
        <v>5122</v>
      </c>
      <c r="D7" s="17" t="s">
        <v>313</v>
      </c>
      <c r="E7" s="18" t="s">
        <v>259</v>
      </c>
      <c r="F7" s="132"/>
      <c r="G7" s="25">
        <v>645</v>
      </c>
      <c r="H7" s="17" t="s">
        <v>75</v>
      </c>
      <c r="I7" s="17"/>
      <c r="J7" s="117"/>
      <c r="K7" s="17"/>
    </row>
    <row r="8" spans="1:11">
      <c r="A8" s="17">
        <v>2</v>
      </c>
      <c r="B8" s="17"/>
      <c r="C8" s="17">
        <v>5122</v>
      </c>
      <c r="D8" s="17" t="s">
        <v>313</v>
      </c>
      <c r="E8" s="18" t="s">
        <v>320</v>
      </c>
      <c r="F8" s="132">
        <v>105000</v>
      </c>
      <c r="G8" s="25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5166</v>
      </c>
      <c r="D9" s="130">
        <v>44992</v>
      </c>
      <c r="E9" s="18" t="s">
        <v>322</v>
      </c>
      <c r="F9" s="132">
        <v>375000</v>
      </c>
      <c r="G9" s="25"/>
      <c r="H9" s="17" t="s">
        <v>75</v>
      </c>
      <c r="I9" s="17"/>
      <c r="J9" s="117"/>
      <c r="K9" s="17"/>
    </row>
    <row r="10" spans="1:11">
      <c r="A10" s="17">
        <v>4</v>
      </c>
      <c r="B10" s="17"/>
      <c r="C10" s="18" t="s">
        <v>325</v>
      </c>
      <c r="D10" s="133">
        <v>45023</v>
      </c>
      <c r="E10" s="18" t="s">
        <v>326</v>
      </c>
      <c r="F10" s="134">
        <v>150000</v>
      </c>
      <c r="G10" s="25"/>
      <c r="H10" s="17"/>
      <c r="I10" s="17"/>
      <c r="J10" s="117"/>
      <c r="K10" s="17"/>
    </row>
    <row r="11" spans="1:11">
      <c r="A11" s="17">
        <v>5</v>
      </c>
      <c r="B11" s="17"/>
      <c r="C11" s="17">
        <v>5365</v>
      </c>
      <c r="D11" s="130">
        <v>45268</v>
      </c>
      <c r="E11" s="18" t="s">
        <v>135</v>
      </c>
      <c r="F11" s="132"/>
      <c r="G11" s="25">
        <v>780</v>
      </c>
      <c r="H11" s="17" t="s">
        <v>75</v>
      </c>
      <c r="I11" s="17"/>
      <c r="J11" s="117"/>
      <c r="K11" s="17"/>
    </row>
    <row r="12" spans="1:11">
      <c r="A12" s="17">
        <v>6</v>
      </c>
      <c r="B12" s="17"/>
      <c r="C12" s="17" t="s">
        <v>344</v>
      </c>
      <c r="D12" s="130" t="s">
        <v>345</v>
      </c>
      <c r="E12" s="18" t="s">
        <v>134</v>
      </c>
      <c r="F12" s="132">
        <v>35000</v>
      </c>
      <c r="G12" s="25"/>
      <c r="H12" s="17"/>
      <c r="I12" s="17"/>
      <c r="J12" s="117"/>
      <c r="K12" s="17"/>
    </row>
    <row r="13" spans="1:11">
      <c r="A13" s="17">
        <v>7</v>
      </c>
      <c r="B13" s="17"/>
      <c r="C13" s="17">
        <v>5596</v>
      </c>
      <c r="D13" s="130">
        <v>45117</v>
      </c>
      <c r="E13" s="18" t="s">
        <v>350</v>
      </c>
      <c r="F13" s="132">
        <v>143250</v>
      </c>
      <c r="G13" s="25"/>
      <c r="H13" s="17" t="s">
        <v>75</v>
      </c>
      <c r="I13" s="17"/>
      <c r="J13" s="117"/>
      <c r="K13" s="17"/>
    </row>
    <row r="14" spans="1:11">
      <c r="A14" s="17">
        <v>8</v>
      </c>
      <c r="B14" s="17"/>
      <c r="C14" s="17">
        <v>5596</v>
      </c>
      <c r="D14" s="130">
        <v>45117</v>
      </c>
      <c r="E14" s="18" t="s">
        <v>259</v>
      </c>
      <c r="F14" s="132">
        <v>370000</v>
      </c>
      <c r="G14" s="25"/>
      <c r="H14" s="17" t="s">
        <v>75</v>
      </c>
      <c r="I14" s="17"/>
      <c r="J14" s="117"/>
      <c r="K14" s="17"/>
    </row>
    <row r="15" spans="1:11">
      <c r="A15" s="17">
        <v>9</v>
      </c>
      <c r="B15" s="17"/>
      <c r="C15" s="17">
        <v>5596</v>
      </c>
      <c r="D15" s="130">
        <v>45117</v>
      </c>
      <c r="E15" s="18" t="s">
        <v>352</v>
      </c>
      <c r="F15" s="132">
        <v>155000</v>
      </c>
      <c r="G15" s="25"/>
      <c r="H15" s="17" t="s">
        <v>75</v>
      </c>
      <c r="I15" s="17"/>
      <c r="J15" s="117"/>
      <c r="K15" s="17"/>
    </row>
    <row r="16" spans="1:11">
      <c r="A16" s="17">
        <v>10</v>
      </c>
      <c r="B16" s="17"/>
      <c r="C16" s="17">
        <v>5922</v>
      </c>
      <c r="D16" s="17" t="s">
        <v>391</v>
      </c>
      <c r="E16" s="18" t="s">
        <v>393</v>
      </c>
      <c r="F16" s="132">
        <v>450000</v>
      </c>
      <c r="G16" s="25"/>
      <c r="H16" s="17" t="s">
        <v>75</v>
      </c>
      <c r="I16" s="17"/>
      <c r="J16" s="117"/>
      <c r="K16" s="17"/>
    </row>
    <row r="17" spans="1:11">
      <c r="A17" s="17">
        <v>11</v>
      </c>
      <c r="B17" s="17"/>
      <c r="C17" s="98">
        <v>7717</v>
      </c>
      <c r="D17" s="135">
        <v>45676</v>
      </c>
      <c r="E17" s="99" t="s">
        <v>688</v>
      </c>
      <c r="F17" s="100">
        <v>125000</v>
      </c>
      <c r="G17" s="127"/>
      <c r="H17" s="98" t="s">
        <v>75</v>
      </c>
      <c r="I17" s="17"/>
      <c r="J17" s="117"/>
      <c r="K17" s="17"/>
    </row>
    <row r="18" spans="1:11">
      <c r="A18" s="17">
        <v>12</v>
      </c>
      <c r="B18" s="17"/>
      <c r="C18" s="17">
        <v>8062</v>
      </c>
      <c r="D18" s="130">
        <v>45739</v>
      </c>
      <c r="E18" s="18" t="s">
        <v>732</v>
      </c>
      <c r="F18" s="24">
        <v>283000</v>
      </c>
      <c r="G18" s="116"/>
      <c r="H18" s="17" t="s">
        <v>75</v>
      </c>
      <c r="I18" s="17"/>
      <c r="J18" s="117"/>
      <c r="K18" s="17"/>
    </row>
    <row r="19" spans="1:11">
      <c r="A19" s="17">
        <v>13</v>
      </c>
      <c r="B19" s="17"/>
      <c r="C19" s="98">
        <v>8062</v>
      </c>
      <c r="D19" s="135">
        <v>45739</v>
      </c>
      <c r="E19" s="99" t="s">
        <v>259</v>
      </c>
      <c r="F19" s="100">
        <v>550000</v>
      </c>
      <c r="G19" s="101"/>
      <c r="H19" s="98" t="s">
        <v>75</v>
      </c>
      <c r="I19" s="17"/>
      <c r="J19" s="117"/>
      <c r="K19" s="17"/>
    </row>
    <row r="20" spans="1:11">
      <c r="A20" s="17">
        <v>14</v>
      </c>
      <c r="B20" s="17"/>
      <c r="C20" s="99">
        <v>8806</v>
      </c>
      <c r="D20" s="136">
        <v>45791</v>
      </c>
      <c r="E20" s="99" t="s">
        <v>779</v>
      </c>
      <c r="F20" s="137">
        <v>278000</v>
      </c>
      <c r="G20" s="127"/>
      <c r="H20" s="98" t="s">
        <v>75</v>
      </c>
      <c r="I20" s="17"/>
      <c r="J20" s="117"/>
      <c r="K20" s="17"/>
    </row>
    <row r="21" spans="1:11">
      <c r="A21" s="17">
        <v>15</v>
      </c>
      <c r="B21" s="17"/>
      <c r="C21" s="99">
        <v>8806</v>
      </c>
      <c r="D21" s="136">
        <v>45791</v>
      </c>
      <c r="E21" s="99" t="s">
        <v>780</v>
      </c>
      <c r="F21" s="137">
        <v>750000</v>
      </c>
      <c r="G21" s="127"/>
      <c r="H21" s="98" t="s">
        <v>75</v>
      </c>
      <c r="I21" s="17"/>
      <c r="J21" s="117"/>
      <c r="K21" s="17"/>
    </row>
    <row r="22" spans="1:11">
      <c r="A22" s="17">
        <v>16</v>
      </c>
      <c r="B22" s="17"/>
      <c r="C22" s="17">
        <v>8850</v>
      </c>
      <c r="D22" s="130">
        <v>45798</v>
      </c>
      <c r="E22" s="18" t="s">
        <v>783</v>
      </c>
      <c r="F22" s="132">
        <v>377000</v>
      </c>
      <c r="G22" s="25"/>
      <c r="H22" s="98" t="s">
        <v>75</v>
      </c>
      <c r="I22" s="17"/>
      <c r="J22" s="117"/>
      <c r="K22" s="17"/>
    </row>
    <row r="23" spans="1:11">
      <c r="A23" s="17">
        <v>17</v>
      </c>
      <c r="B23" s="17"/>
      <c r="C23" s="17">
        <v>8850</v>
      </c>
      <c r="D23" s="130">
        <v>45798</v>
      </c>
      <c r="E23" s="18" t="s">
        <v>591</v>
      </c>
      <c r="F23" s="132">
        <v>350000</v>
      </c>
      <c r="G23" s="25"/>
      <c r="H23" s="98" t="s">
        <v>75</v>
      </c>
      <c r="I23" s="17"/>
      <c r="J23" s="117"/>
      <c r="K23" s="17"/>
    </row>
    <row r="24" spans="1:11">
      <c r="A24" s="17">
        <v>18</v>
      </c>
      <c r="B24" s="17"/>
      <c r="C24" s="18">
        <v>9539</v>
      </c>
      <c r="D24" s="133">
        <v>45890</v>
      </c>
      <c r="E24" s="18" t="s">
        <v>1010</v>
      </c>
      <c r="F24" s="134">
        <v>25000</v>
      </c>
      <c r="G24" s="116"/>
      <c r="H24" s="17" t="s">
        <v>75</v>
      </c>
      <c r="I24" s="17"/>
      <c r="J24" s="117"/>
      <c r="K24" s="17"/>
    </row>
    <row r="25" spans="1:11">
      <c r="A25" s="17">
        <v>19</v>
      </c>
      <c r="B25" s="17"/>
      <c r="C25" s="18">
        <v>101</v>
      </c>
      <c r="D25" s="132" t="s">
        <v>1062</v>
      </c>
      <c r="E25" s="25" t="s">
        <v>1065</v>
      </c>
      <c r="F25" s="17">
        <v>1259000</v>
      </c>
      <c r="G25" s="17"/>
      <c r="H25" s="117" t="s">
        <v>75</v>
      </c>
      <c r="K25" s="17"/>
    </row>
    <row r="26" spans="1:11">
      <c r="A26" s="17">
        <v>20</v>
      </c>
      <c r="B26" s="17"/>
      <c r="C26" s="17">
        <v>303</v>
      </c>
      <c r="D26" s="130">
        <v>45977</v>
      </c>
      <c r="E26" s="18" t="s">
        <v>1095</v>
      </c>
      <c r="F26" s="132">
        <v>1155000</v>
      </c>
      <c r="G26" s="25"/>
      <c r="H26" s="117" t="s">
        <v>75</v>
      </c>
      <c r="I26" s="17"/>
      <c r="J26" s="117"/>
      <c r="K26" s="17"/>
    </row>
    <row r="27" spans="1:11">
      <c r="A27" s="17">
        <v>21</v>
      </c>
      <c r="B27" s="17"/>
      <c r="C27" s="98">
        <v>668</v>
      </c>
      <c r="D27" s="135">
        <v>46082</v>
      </c>
      <c r="E27" s="99" t="s">
        <v>779</v>
      </c>
      <c r="F27" s="100">
        <v>281000</v>
      </c>
      <c r="G27" s="101"/>
      <c r="H27" s="98" t="s">
        <v>75</v>
      </c>
      <c r="I27" s="17"/>
      <c r="J27" s="117"/>
      <c r="K27" s="17"/>
    </row>
    <row r="28" spans="1:11">
      <c r="A28" s="17">
        <v>22</v>
      </c>
      <c r="B28" s="17"/>
      <c r="C28" s="17">
        <v>1428</v>
      </c>
      <c r="D28" s="17" t="s">
        <v>1286</v>
      </c>
      <c r="E28" s="18" t="s">
        <v>1288</v>
      </c>
      <c r="F28" s="132">
        <v>595000</v>
      </c>
      <c r="G28" s="25"/>
      <c r="H28" s="17" t="s">
        <v>75</v>
      </c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132"/>
      <c r="G29" s="25"/>
      <c r="H29" s="17"/>
      <c r="I29" s="17"/>
      <c r="J29" s="117"/>
      <c r="K29" s="17"/>
    </row>
    <row r="30" spans="1:11">
      <c r="A30" s="108"/>
      <c r="B30" s="204" t="s">
        <v>98</v>
      </c>
      <c r="C30" s="204"/>
      <c r="D30" s="108"/>
      <c r="E30" s="118"/>
      <c r="F30" s="119">
        <f>SUM(F7:F29)</f>
        <v>7811250</v>
      </c>
      <c r="G30" s="120">
        <f>SUM(G7:G29)</f>
        <v>1425</v>
      </c>
      <c r="H30" s="108"/>
      <c r="I30" s="108"/>
      <c r="J30" s="121"/>
      <c r="K30" s="108"/>
    </row>
    <row r="31" spans="1:11">
      <c r="J31" s="115"/>
    </row>
    <row r="32" spans="1:11">
      <c r="J32" s="115"/>
    </row>
    <row r="33" spans="10:10">
      <c r="J33" s="115"/>
    </row>
    <row r="34" spans="10:10">
      <c r="J34" s="115"/>
    </row>
    <row r="35" spans="10:10">
      <c r="J35" s="115"/>
    </row>
    <row r="36" spans="10:10">
      <c r="J36" s="115"/>
    </row>
    <row r="37" spans="10:10">
      <c r="J37" s="115"/>
    </row>
    <row r="38" spans="10:10">
      <c r="J38" s="115"/>
    </row>
    <row r="39" spans="10:10">
      <c r="J39" s="115"/>
    </row>
    <row r="40" spans="10:10">
      <c r="J40" s="115"/>
    </row>
    <row r="41" spans="10:10">
      <c r="J41" s="115"/>
    </row>
    <row r="42" spans="10:10">
      <c r="J42" s="115"/>
    </row>
    <row r="43" spans="10:10">
      <c r="J43" s="115"/>
    </row>
    <row r="44" spans="10:10">
      <c r="J44" s="115"/>
    </row>
    <row r="45" spans="10:10">
      <c r="J45" s="115"/>
    </row>
    <row r="46" spans="10:10">
      <c r="J46" s="115"/>
    </row>
    <row r="47" spans="10:10">
      <c r="J47" s="115"/>
    </row>
    <row r="48" spans="10:10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0:C30"/>
  </mergeCells>
  <hyperlinks>
    <hyperlink ref="K2" location="الاليات!A1" display="الاليات " xr:uid="{00000000-0004-0000-6D00-000000000000}"/>
  </hyperlinks>
  <pageMargins left="0.7" right="0.7" top="0.75" bottom="0.75" header="0.3" footer="0.3"/>
  <pageSetup paperSize="9" scale="85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FFFF00"/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5.33203125" style="1" bestFit="1" customWidth="1"/>
    <col min="3" max="3" width="12.88671875" style="1" bestFit="1" customWidth="1"/>
    <col min="4" max="4" width="12.77734375" style="1" bestFit="1" customWidth="1"/>
    <col min="5" max="5" width="18.109375" style="73" bestFit="1" customWidth="1"/>
    <col min="6" max="6" width="15.10937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105</v>
      </c>
      <c r="B2" s="202" t="s">
        <v>37</v>
      </c>
      <c r="C2" s="203"/>
      <c r="D2" s="85"/>
      <c r="E2" s="86" t="s">
        <v>8</v>
      </c>
      <c r="F2" s="17">
        <v>2011</v>
      </c>
      <c r="G2" s="89"/>
      <c r="H2" s="89" t="s">
        <v>100</v>
      </c>
      <c r="I2" s="89" t="s">
        <v>963</v>
      </c>
      <c r="J2" s="81"/>
      <c r="K2" s="90" t="s">
        <v>102</v>
      </c>
    </row>
    <row r="3" spans="1:11">
      <c r="A3" s="35"/>
      <c r="B3" s="89" t="s">
        <v>99</v>
      </c>
      <c r="C3" s="123" t="s">
        <v>960</v>
      </c>
      <c r="D3" s="89"/>
      <c r="E3" s="86" t="s">
        <v>68</v>
      </c>
      <c r="F3" s="89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 ht="34.799999999999997">
      <c r="A7" s="17">
        <v>1</v>
      </c>
      <c r="B7" s="17"/>
      <c r="C7" s="17">
        <v>7348</v>
      </c>
      <c r="D7" s="130">
        <v>45619</v>
      </c>
      <c r="E7" s="18" t="s">
        <v>614</v>
      </c>
      <c r="F7" s="24">
        <v>145000</v>
      </c>
      <c r="G7" s="116"/>
      <c r="H7" s="17" t="s">
        <v>75</v>
      </c>
      <c r="I7" s="17"/>
      <c r="J7" s="117"/>
      <c r="K7" s="17"/>
    </row>
    <row r="8" spans="1:11" ht="87">
      <c r="A8" s="17">
        <v>2</v>
      </c>
      <c r="B8" s="17"/>
      <c r="C8" s="17">
        <v>7348</v>
      </c>
      <c r="D8" s="130">
        <v>45619</v>
      </c>
      <c r="E8" s="131" t="s">
        <v>624</v>
      </c>
      <c r="F8" s="132">
        <v>480000</v>
      </c>
      <c r="G8" s="116"/>
      <c r="H8" s="17" t="s">
        <v>75</v>
      </c>
      <c r="I8" s="17"/>
      <c r="J8" s="117"/>
      <c r="K8" s="17"/>
    </row>
    <row r="9" spans="1:11">
      <c r="A9" s="17">
        <v>3</v>
      </c>
      <c r="B9" s="17"/>
      <c r="C9" s="17">
        <v>7882</v>
      </c>
      <c r="D9" s="130">
        <v>45705</v>
      </c>
      <c r="E9" s="18" t="s">
        <v>717</v>
      </c>
      <c r="F9" s="24">
        <v>800000</v>
      </c>
      <c r="G9" s="116"/>
      <c r="H9" s="17" t="s">
        <v>75</v>
      </c>
      <c r="I9" s="17"/>
      <c r="J9" s="117"/>
      <c r="K9" s="17"/>
    </row>
    <row r="10" spans="1:11" ht="52.2">
      <c r="A10" s="17">
        <v>4</v>
      </c>
      <c r="B10" s="17"/>
      <c r="C10" s="17">
        <v>9087</v>
      </c>
      <c r="D10" s="130">
        <v>45836</v>
      </c>
      <c r="E10" s="18" t="s">
        <v>795</v>
      </c>
      <c r="F10" s="24">
        <v>445000</v>
      </c>
      <c r="G10" s="116"/>
      <c r="H10" s="17" t="s">
        <v>75</v>
      </c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24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7">
        <v>29</v>
      </c>
      <c r="B35" s="17"/>
      <c r="C35" s="17"/>
      <c r="D35" s="17"/>
      <c r="E35" s="18"/>
      <c r="F35" s="24"/>
      <c r="G35" s="116"/>
      <c r="H35" s="17"/>
      <c r="I35" s="17"/>
      <c r="J35" s="117"/>
      <c r="K35" s="17"/>
    </row>
    <row r="36" spans="1:11">
      <c r="A36" s="17">
        <v>30</v>
      </c>
      <c r="B36" s="17"/>
      <c r="C36" s="17"/>
      <c r="D36" s="17"/>
      <c r="E36" s="18"/>
      <c r="F36" s="24"/>
      <c r="G36" s="116"/>
      <c r="H36" s="17"/>
      <c r="I36" s="17"/>
      <c r="J36" s="117"/>
      <c r="K36" s="17"/>
    </row>
    <row r="37" spans="1:11">
      <c r="A37" s="108"/>
      <c r="B37" s="204" t="s">
        <v>98</v>
      </c>
      <c r="C37" s="204"/>
      <c r="D37" s="108"/>
      <c r="E37" s="118"/>
      <c r="F37" s="119">
        <f>SUM(F7:F36)</f>
        <v>1870000</v>
      </c>
      <c r="G37" s="120">
        <f>SUM(G7:G36)</f>
        <v>0</v>
      </c>
      <c r="H37" s="108"/>
      <c r="I37" s="108"/>
      <c r="J37" s="121"/>
      <c r="K37" s="108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6E00-000000000000}"/>
  </hyperlinks>
  <pageMargins left="0.7" right="0.7" top="0.75" bottom="0.75" header="0.3" footer="0.3"/>
  <pageSetup paperSize="9" scale="59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FFFF00"/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2.6640625" style="1" bestFit="1" customWidth="1"/>
    <col min="3" max="3" width="15.21875" style="1" bestFit="1" customWidth="1"/>
    <col min="4" max="4" width="4.5546875" style="1" bestFit="1" customWidth="1"/>
    <col min="5" max="5" width="11.109375" style="73" bestFit="1" customWidth="1"/>
    <col min="6" max="6" width="11" style="78" bestFit="1" customWidth="1"/>
    <col min="7" max="7" width="6.21875" style="122" bestFit="1" customWidth="1"/>
    <col min="8" max="8" width="13.44140625" style="1" bestFit="1" customWidth="1"/>
    <col min="9" max="9" width="10.21875" style="1" bestFit="1" customWidth="1"/>
    <col min="10" max="10" width="7.21875" style="1" bestFit="1" customWidth="1"/>
    <col min="11" max="11" width="16.5546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106</v>
      </c>
      <c r="B2" s="202" t="s">
        <v>59</v>
      </c>
      <c r="C2" s="203"/>
      <c r="D2" s="85"/>
      <c r="E2" s="86" t="s">
        <v>8</v>
      </c>
      <c r="F2" s="17">
        <v>2012</v>
      </c>
      <c r="G2" s="89"/>
      <c r="H2" s="89" t="s">
        <v>100</v>
      </c>
      <c r="I2" s="89" t="s">
        <v>963</v>
      </c>
      <c r="J2" s="81"/>
      <c r="K2" s="90" t="s">
        <v>102</v>
      </c>
    </row>
    <row r="3" spans="1:11">
      <c r="A3" s="35"/>
      <c r="B3" s="89" t="s">
        <v>99</v>
      </c>
      <c r="C3" s="123" t="s">
        <v>961</v>
      </c>
      <c r="D3" s="89"/>
      <c r="E3" s="86" t="s">
        <v>68</v>
      </c>
      <c r="F3" s="89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8"/>
      <c r="C7" s="98"/>
      <c r="D7" s="98"/>
      <c r="E7" s="99"/>
      <c r="F7" s="126"/>
      <c r="G7" s="127"/>
      <c r="H7" s="98"/>
      <c r="I7" s="98"/>
      <c r="J7" s="102"/>
      <c r="K7" s="17"/>
    </row>
    <row r="8" spans="1:11">
      <c r="A8" s="98">
        <v>2</v>
      </c>
      <c r="B8" s="98"/>
      <c r="C8" s="98"/>
      <c r="D8" s="98"/>
      <c r="E8" s="99"/>
      <c r="F8" s="126"/>
      <c r="G8" s="127"/>
      <c r="H8" s="98"/>
      <c r="I8" s="98"/>
      <c r="J8" s="102"/>
      <c r="K8" s="17"/>
    </row>
    <row r="9" spans="1:11">
      <c r="A9" s="98">
        <v>3</v>
      </c>
      <c r="B9" s="98"/>
      <c r="C9" s="98"/>
      <c r="D9" s="98"/>
      <c r="E9" s="99"/>
      <c r="F9" s="126"/>
      <c r="G9" s="127"/>
      <c r="H9" s="98"/>
      <c r="I9" s="98"/>
      <c r="J9" s="102"/>
      <c r="K9" s="17"/>
    </row>
    <row r="10" spans="1:11">
      <c r="A10" s="98">
        <v>4</v>
      </c>
      <c r="B10" s="98"/>
      <c r="C10" s="98"/>
      <c r="D10" s="98"/>
      <c r="E10" s="99"/>
      <c r="F10" s="126"/>
      <c r="G10" s="127"/>
      <c r="H10" s="98"/>
      <c r="I10" s="98"/>
      <c r="J10" s="102"/>
      <c r="K10" s="17"/>
    </row>
    <row r="11" spans="1:11">
      <c r="A11" s="98">
        <v>5</v>
      </c>
      <c r="B11" s="98"/>
      <c r="C11" s="98"/>
      <c r="D11" s="98"/>
      <c r="E11" s="99"/>
      <c r="F11" s="126"/>
      <c r="G11" s="127"/>
      <c r="H11" s="98"/>
      <c r="I11" s="98"/>
      <c r="J11" s="102"/>
      <c r="K11" s="17"/>
    </row>
    <row r="12" spans="1:11">
      <c r="A12" s="98">
        <v>6</v>
      </c>
      <c r="B12" s="98"/>
      <c r="C12" s="98"/>
      <c r="D12" s="98"/>
      <c r="E12" s="99"/>
      <c r="F12" s="126"/>
      <c r="G12" s="127"/>
      <c r="H12" s="98"/>
      <c r="I12" s="98"/>
      <c r="J12" s="102"/>
      <c r="K12" s="17"/>
    </row>
    <row r="13" spans="1:11">
      <c r="A13" s="98">
        <v>7</v>
      </c>
      <c r="B13" s="98"/>
      <c r="C13" s="98"/>
      <c r="D13" s="98"/>
      <c r="E13" s="99"/>
      <c r="F13" s="126"/>
      <c r="G13" s="127"/>
      <c r="H13" s="98"/>
      <c r="I13" s="98"/>
      <c r="J13" s="102"/>
      <c r="K13" s="17"/>
    </row>
    <row r="14" spans="1:11">
      <c r="A14" s="98">
        <v>8</v>
      </c>
      <c r="B14" s="98"/>
      <c r="C14" s="98"/>
      <c r="D14" s="98"/>
      <c r="E14" s="99"/>
      <c r="F14" s="126"/>
      <c r="G14" s="127"/>
      <c r="H14" s="98"/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26"/>
      <c r="G15" s="127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26"/>
      <c r="G16" s="127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26"/>
      <c r="G17" s="127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26"/>
      <c r="G18" s="127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26"/>
      <c r="G19" s="127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26"/>
      <c r="G20" s="127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26"/>
      <c r="G21" s="127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26"/>
      <c r="G22" s="127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26"/>
      <c r="G23" s="127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26"/>
      <c r="G24" s="127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26"/>
      <c r="G25" s="127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26"/>
      <c r="G26" s="127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26"/>
      <c r="G27" s="127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26"/>
      <c r="G28" s="127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26"/>
      <c r="G29" s="127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26"/>
      <c r="G30" s="127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26"/>
      <c r="G31" s="127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26"/>
      <c r="G32" s="127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26"/>
      <c r="G33" s="127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26"/>
      <c r="G34" s="127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26"/>
      <c r="G35" s="127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26"/>
      <c r="G36" s="127"/>
      <c r="H36" s="98"/>
      <c r="I36" s="98"/>
      <c r="J36" s="102"/>
      <c r="K36" s="17"/>
    </row>
    <row r="37" spans="1:11">
      <c r="A37" s="103"/>
      <c r="B37" s="206" t="s">
        <v>98</v>
      </c>
      <c r="C37" s="206"/>
      <c r="D37" s="103"/>
      <c r="E37" s="104"/>
      <c r="F37" s="105">
        <f>SUM(F7:F36)</f>
        <v>0</v>
      </c>
      <c r="G37" s="106">
        <f>SUM(G7:G36)</f>
        <v>0</v>
      </c>
      <c r="H37" s="103"/>
      <c r="I37" s="103"/>
      <c r="J37" s="107"/>
      <c r="K37" s="108"/>
    </row>
    <row r="38" spans="1:11">
      <c r="A38" s="109"/>
      <c r="B38" s="109"/>
      <c r="C38" s="109"/>
      <c r="D38" s="109"/>
      <c r="E38" s="110"/>
      <c r="F38" s="128"/>
      <c r="G38" s="129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28"/>
      <c r="G39" s="129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28"/>
      <c r="G40" s="129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28"/>
      <c r="G41" s="129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28"/>
      <c r="G42" s="129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28"/>
      <c r="G43" s="129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28"/>
      <c r="G44" s="129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28"/>
      <c r="G45" s="129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28"/>
      <c r="G46" s="129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28"/>
      <c r="G47" s="129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28"/>
      <c r="G48" s="129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28"/>
      <c r="G49" s="129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28"/>
      <c r="G50" s="129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28"/>
      <c r="G51" s="129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28"/>
      <c r="G52" s="129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28"/>
      <c r="G53" s="129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28"/>
      <c r="G54" s="129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28"/>
      <c r="G55" s="129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28"/>
      <c r="G56" s="129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28"/>
      <c r="G57" s="129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28"/>
      <c r="G58" s="129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28"/>
      <c r="G59" s="129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28"/>
      <c r="G60" s="129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28"/>
      <c r="G61" s="129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28"/>
      <c r="G62" s="129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28"/>
      <c r="G63" s="129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28"/>
      <c r="G64" s="129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28"/>
      <c r="G65" s="129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28"/>
      <c r="G66" s="129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28"/>
      <c r="G67" s="129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28"/>
      <c r="G68" s="129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28"/>
      <c r="G69" s="129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28"/>
      <c r="G70" s="129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28"/>
      <c r="G71" s="129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28"/>
      <c r="G72" s="129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28"/>
      <c r="G73" s="129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28"/>
      <c r="G74" s="129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28"/>
      <c r="G75" s="129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28"/>
      <c r="G76" s="129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28"/>
      <c r="G77" s="129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28"/>
      <c r="G78" s="129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28"/>
      <c r="G79" s="129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28"/>
      <c r="G80" s="129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28"/>
      <c r="G81" s="129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28"/>
      <c r="G82" s="129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28"/>
      <c r="G83" s="129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28"/>
      <c r="G84" s="129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28"/>
      <c r="G85" s="129"/>
      <c r="H85" s="109"/>
      <c r="I85" s="109"/>
      <c r="J85" s="113"/>
    </row>
    <row r="86" spans="1:10">
      <c r="A86" s="109"/>
      <c r="B86" s="109"/>
      <c r="C86" s="109"/>
      <c r="D86" s="109"/>
      <c r="E86" s="110"/>
      <c r="F86" s="128"/>
      <c r="G86" s="129"/>
      <c r="H86" s="109"/>
      <c r="I86" s="109"/>
      <c r="J86" s="113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6F00-000000000000}"/>
  </hyperlinks>
  <pageMargins left="0.7" right="0.7" top="0.75" bottom="0.75" header="0.3" footer="0.3"/>
  <pageSetup paperSize="9" scale="70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FFFF00"/>
  </sheetPr>
  <dimension ref="A1:K118"/>
  <sheetViews>
    <sheetView rightToLeft="1" zoomScaleNormal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5.33203125" style="1" bestFit="1" customWidth="1"/>
    <col min="3" max="3" width="15.6640625" style="1" bestFit="1" customWidth="1"/>
    <col min="4" max="4" width="4.5546875" style="1" bestFit="1" customWidth="1"/>
    <col min="5" max="5" width="11" style="73" bestFit="1" customWidth="1"/>
    <col min="6" max="6" width="11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16" t="s">
        <v>10</v>
      </c>
      <c r="B1" s="217"/>
      <c r="C1" s="217"/>
      <c r="D1" s="217"/>
      <c r="E1" s="217"/>
      <c r="F1" s="217"/>
      <c r="G1" s="217"/>
      <c r="H1" s="217"/>
      <c r="I1" s="217"/>
      <c r="J1" s="217"/>
      <c r="K1" s="218"/>
    </row>
    <row r="2" spans="1:11" ht="21" customHeight="1">
      <c r="A2" s="35">
        <v>107</v>
      </c>
      <c r="B2" s="202" t="s">
        <v>157</v>
      </c>
      <c r="C2" s="203"/>
      <c r="D2" s="85"/>
      <c r="E2" s="86" t="s">
        <v>8</v>
      </c>
      <c r="F2" s="17">
        <v>2019</v>
      </c>
      <c r="G2" s="89"/>
      <c r="H2" s="89" t="s">
        <v>100</v>
      </c>
      <c r="I2" s="89" t="s">
        <v>963</v>
      </c>
      <c r="J2" s="81"/>
      <c r="K2" s="90" t="s">
        <v>102</v>
      </c>
    </row>
    <row r="3" spans="1:11">
      <c r="A3" s="35"/>
      <c r="B3" s="89" t="s">
        <v>99</v>
      </c>
      <c r="C3" s="123" t="s">
        <v>962</v>
      </c>
      <c r="D3" s="89"/>
      <c r="E3" s="86" t="s">
        <v>68</v>
      </c>
      <c r="F3" s="89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/>
      <c r="D7" s="17"/>
      <c r="E7" s="18"/>
      <c r="F7" s="24"/>
      <c r="G7" s="116"/>
      <c r="H7" s="17"/>
      <c r="I7" s="17"/>
      <c r="J7" s="117"/>
      <c r="K7" s="17"/>
    </row>
    <row r="8" spans="1:11">
      <c r="A8" s="17">
        <v>2</v>
      </c>
      <c r="B8" s="17"/>
      <c r="C8" s="17"/>
      <c r="D8" s="17"/>
      <c r="E8" s="18"/>
      <c r="F8" s="24"/>
      <c r="G8" s="116"/>
      <c r="H8" s="17"/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24"/>
      <c r="G9" s="116"/>
      <c r="H9" s="17"/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24"/>
      <c r="G10" s="116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24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7">
        <v>28</v>
      </c>
      <c r="B34" s="17"/>
      <c r="C34" s="17"/>
      <c r="D34" s="17"/>
      <c r="E34" s="18"/>
      <c r="F34" s="24"/>
      <c r="G34" s="116"/>
      <c r="H34" s="17"/>
      <c r="I34" s="17"/>
      <c r="J34" s="117"/>
      <c r="K34" s="17"/>
    </row>
    <row r="35" spans="1:11">
      <c r="A35" s="108"/>
      <c r="B35" s="212" t="s">
        <v>98</v>
      </c>
      <c r="C35" s="213"/>
      <c r="D35" s="108"/>
      <c r="E35" s="118"/>
      <c r="F35" s="119">
        <f>SUM(F7:F34)</f>
        <v>0</v>
      </c>
      <c r="G35" s="120">
        <f>SUM(G7:G34)</f>
        <v>0</v>
      </c>
      <c r="H35" s="108"/>
      <c r="I35" s="108"/>
      <c r="J35" s="121"/>
      <c r="K35" s="108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7000-000000000000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FFFF00"/>
    <pageSetUpPr fitToPage="1"/>
  </sheetPr>
  <dimension ref="A1:K118"/>
  <sheetViews>
    <sheetView rightToLeft="1" view="pageBreakPreview" topLeftCell="A2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5.33203125" style="1" bestFit="1" customWidth="1"/>
    <col min="3" max="3" width="12.77734375" style="1" bestFit="1" customWidth="1"/>
    <col min="4" max="4" width="4.5546875" style="1" bestFit="1" customWidth="1"/>
    <col min="5" max="5" width="11" style="73" bestFit="1" customWidth="1"/>
    <col min="6" max="6" width="8.77734375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108</v>
      </c>
      <c r="B2" s="202" t="s">
        <v>964</v>
      </c>
      <c r="C2" s="203"/>
      <c r="D2" s="85"/>
      <c r="E2" s="86" t="s">
        <v>8</v>
      </c>
      <c r="F2" s="17">
        <v>2010</v>
      </c>
      <c r="G2" s="89"/>
      <c r="H2" s="89" t="s">
        <v>100</v>
      </c>
      <c r="I2" s="89" t="s">
        <v>963</v>
      </c>
      <c r="J2" s="81"/>
      <c r="K2" s="90" t="s">
        <v>102</v>
      </c>
    </row>
    <row r="3" spans="1:11">
      <c r="A3" s="35"/>
      <c r="B3" s="89" t="s">
        <v>99</v>
      </c>
      <c r="C3" s="123" t="s">
        <v>966</v>
      </c>
      <c r="D3" s="89"/>
      <c r="E3" s="86" t="s">
        <v>68</v>
      </c>
      <c r="F3" s="89" t="s">
        <v>75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8"/>
      <c r="C7" s="98"/>
      <c r="D7" s="98"/>
      <c r="E7" s="99"/>
      <c r="F7" s="126"/>
      <c r="G7" s="127"/>
      <c r="H7" s="98"/>
      <c r="I7" s="98"/>
      <c r="J7" s="102"/>
      <c r="K7" s="17"/>
    </row>
    <row r="8" spans="1:11">
      <c r="A8" s="98">
        <v>2</v>
      </c>
      <c r="B8" s="98"/>
      <c r="C8" s="98"/>
      <c r="D8" s="98"/>
      <c r="E8" s="99"/>
      <c r="F8" s="126"/>
      <c r="G8" s="127"/>
      <c r="H8" s="98"/>
      <c r="I8" s="98"/>
      <c r="J8" s="102"/>
      <c r="K8" s="17"/>
    </row>
    <row r="9" spans="1:11">
      <c r="A9" s="98">
        <v>3</v>
      </c>
      <c r="B9" s="98"/>
      <c r="C9" s="98"/>
      <c r="D9" s="98"/>
      <c r="E9" s="99"/>
      <c r="F9" s="126"/>
      <c r="G9" s="127"/>
      <c r="H9" s="98"/>
      <c r="I9" s="98"/>
      <c r="J9" s="102"/>
      <c r="K9" s="17"/>
    </row>
    <row r="10" spans="1:11">
      <c r="A10" s="98">
        <v>4</v>
      </c>
      <c r="B10" s="98"/>
      <c r="C10" s="98"/>
      <c r="D10" s="98"/>
      <c r="E10" s="99"/>
      <c r="F10" s="126"/>
      <c r="G10" s="127"/>
      <c r="H10" s="98"/>
      <c r="I10" s="98"/>
      <c r="J10" s="102"/>
      <c r="K10" s="17"/>
    </row>
    <row r="11" spans="1:11">
      <c r="A11" s="98">
        <v>5</v>
      </c>
      <c r="B11" s="98"/>
      <c r="C11" s="98"/>
      <c r="D11" s="98"/>
      <c r="E11" s="99"/>
      <c r="F11" s="126"/>
      <c r="G11" s="127"/>
      <c r="H11" s="98"/>
      <c r="I11" s="98"/>
      <c r="J11" s="102"/>
      <c r="K11" s="17"/>
    </row>
    <row r="12" spans="1:11">
      <c r="A12" s="98">
        <v>6</v>
      </c>
      <c r="B12" s="98"/>
      <c r="C12" s="98"/>
      <c r="D12" s="98"/>
      <c r="E12" s="99"/>
      <c r="F12" s="126"/>
      <c r="G12" s="127"/>
      <c r="H12" s="98"/>
      <c r="I12" s="98"/>
      <c r="J12" s="102"/>
      <c r="K12" s="17"/>
    </row>
    <row r="13" spans="1:11">
      <c r="A13" s="98">
        <v>7</v>
      </c>
      <c r="B13" s="98"/>
      <c r="C13" s="98"/>
      <c r="D13" s="98"/>
      <c r="E13" s="99"/>
      <c r="F13" s="126"/>
      <c r="G13" s="127"/>
      <c r="H13" s="98"/>
      <c r="I13" s="98"/>
      <c r="J13" s="102"/>
      <c r="K13" s="17"/>
    </row>
    <row r="14" spans="1:11">
      <c r="A14" s="98">
        <v>8</v>
      </c>
      <c r="B14" s="98"/>
      <c r="C14" s="98"/>
      <c r="D14" s="98"/>
      <c r="E14" s="99"/>
      <c r="F14" s="126"/>
      <c r="G14" s="127"/>
      <c r="H14" s="98"/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26"/>
      <c r="G15" s="127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26"/>
      <c r="G16" s="127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26"/>
      <c r="G17" s="127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26"/>
      <c r="G18" s="127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26"/>
      <c r="G19" s="127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26"/>
      <c r="G20" s="127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26"/>
      <c r="G21" s="127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26"/>
      <c r="G22" s="127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26"/>
      <c r="G23" s="127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26"/>
      <c r="G24" s="127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26"/>
      <c r="G25" s="127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26"/>
      <c r="G26" s="127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26"/>
      <c r="G27" s="127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26"/>
      <c r="G28" s="127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26"/>
      <c r="G29" s="127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26"/>
      <c r="G30" s="127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26"/>
      <c r="G31" s="127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26"/>
      <c r="G32" s="127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26"/>
      <c r="G33" s="127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26"/>
      <c r="G34" s="127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26"/>
      <c r="G35" s="127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26"/>
      <c r="G36" s="127"/>
      <c r="H36" s="98"/>
      <c r="I36" s="98"/>
      <c r="J36" s="102"/>
      <c r="K36" s="17"/>
    </row>
    <row r="37" spans="1:11">
      <c r="A37" s="103"/>
      <c r="B37" s="206" t="s">
        <v>98</v>
      </c>
      <c r="C37" s="206"/>
      <c r="D37" s="103"/>
      <c r="E37" s="104"/>
      <c r="F37" s="105">
        <f>SUM(F7:F36)</f>
        <v>0</v>
      </c>
      <c r="G37" s="106">
        <f>SUM(G7:G36)</f>
        <v>0</v>
      </c>
      <c r="H37" s="103"/>
      <c r="I37" s="103"/>
      <c r="J37" s="107"/>
      <c r="K37" s="108"/>
    </row>
    <row r="38" spans="1:11">
      <c r="A38" s="109"/>
      <c r="B38" s="109"/>
      <c r="C38" s="109"/>
      <c r="D38" s="109"/>
      <c r="E38" s="110"/>
      <c r="F38" s="128"/>
      <c r="G38" s="129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28"/>
      <c r="G39" s="129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28"/>
      <c r="G40" s="129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28"/>
      <c r="G41" s="129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28"/>
      <c r="G42" s="129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28"/>
      <c r="G43" s="129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28"/>
      <c r="G44" s="129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28"/>
      <c r="G45" s="129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28"/>
      <c r="G46" s="129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28"/>
      <c r="G47" s="129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28"/>
      <c r="G48" s="129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28"/>
      <c r="G49" s="129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28"/>
      <c r="G50" s="129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28"/>
      <c r="G51" s="129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28"/>
      <c r="G52" s="129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28"/>
      <c r="G53" s="129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28"/>
      <c r="G54" s="129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28"/>
      <c r="G55" s="129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28"/>
      <c r="G56" s="129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28"/>
      <c r="G57" s="129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28"/>
      <c r="G58" s="129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28"/>
      <c r="G59" s="129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28"/>
      <c r="G60" s="129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28"/>
      <c r="G61" s="129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28"/>
      <c r="G62" s="129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28"/>
      <c r="G63" s="129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28"/>
      <c r="G64" s="129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28"/>
      <c r="G65" s="129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28"/>
      <c r="G66" s="129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28"/>
      <c r="G67" s="129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28"/>
      <c r="G68" s="129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28"/>
      <c r="G69" s="129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28"/>
      <c r="G70" s="129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28"/>
      <c r="G71" s="129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28"/>
      <c r="G72" s="129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28"/>
      <c r="G73" s="129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28"/>
      <c r="G74" s="129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28"/>
      <c r="G75" s="129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28"/>
      <c r="G76" s="129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28"/>
      <c r="G77" s="129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28"/>
      <c r="G78" s="129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28"/>
      <c r="G79" s="129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28"/>
      <c r="G80" s="129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28"/>
      <c r="G81" s="129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28"/>
      <c r="G82" s="129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28"/>
      <c r="G83" s="129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28"/>
      <c r="G84" s="129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28"/>
      <c r="G85" s="129"/>
      <c r="H85" s="109"/>
      <c r="I85" s="109"/>
      <c r="J85" s="113"/>
    </row>
    <row r="86" spans="1:10">
      <c r="A86" s="109"/>
      <c r="B86" s="109"/>
      <c r="C86" s="109"/>
      <c r="D86" s="109"/>
      <c r="E86" s="110"/>
      <c r="F86" s="128"/>
      <c r="G86" s="129"/>
      <c r="H86" s="109"/>
      <c r="I86" s="109"/>
      <c r="J86" s="113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7100-000000000000}"/>
  </hyperlinks>
  <pageMargins left="0.7" right="0.7" top="0.75" bottom="0.75" header="0.3" footer="0.3"/>
  <pageSetup paperSize="9" scale="70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FFFF00"/>
    <pageSetUpPr fitToPage="1"/>
  </sheetPr>
  <dimension ref="A1:K118"/>
  <sheetViews>
    <sheetView rightToLeft="1" view="pageBreakPreview" topLeftCell="A2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2.6640625" style="1" bestFit="1" customWidth="1"/>
    <col min="3" max="3" width="13.5546875" style="1" bestFit="1" customWidth="1"/>
    <col min="4" max="4" width="4.5546875" style="1" bestFit="1" customWidth="1"/>
    <col min="5" max="5" width="11" style="73" bestFit="1" customWidth="1"/>
    <col min="6" max="6" width="11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109</v>
      </c>
      <c r="B2" s="202" t="s">
        <v>67</v>
      </c>
      <c r="C2" s="203"/>
      <c r="D2" s="85"/>
      <c r="E2" s="86" t="s">
        <v>8</v>
      </c>
      <c r="F2" s="17">
        <v>2001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967</v>
      </c>
      <c r="D3" s="89"/>
      <c r="E3" s="86" t="s">
        <v>68</v>
      </c>
      <c r="F3" s="89" t="s">
        <v>70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1</v>
      </c>
      <c r="B7" s="98"/>
      <c r="C7" s="98"/>
      <c r="D7" s="98"/>
      <c r="E7" s="99"/>
      <c r="F7" s="126"/>
      <c r="G7" s="127"/>
      <c r="H7" s="98"/>
      <c r="I7" s="98"/>
      <c r="J7" s="102"/>
      <c r="K7" s="17"/>
    </row>
    <row r="8" spans="1:11">
      <c r="A8" s="98">
        <v>2</v>
      </c>
      <c r="B8" s="98"/>
      <c r="C8" s="98"/>
      <c r="D8" s="98"/>
      <c r="E8" s="99"/>
      <c r="F8" s="126"/>
      <c r="G8" s="127"/>
      <c r="H8" s="98"/>
      <c r="I8" s="98"/>
      <c r="J8" s="102"/>
      <c r="K8" s="17"/>
    </row>
    <row r="9" spans="1:11">
      <c r="A9" s="98">
        <v>3</v>
      </c>
      <c r="B9" s="98"/>
      <c r="C9" s="98"/>
      <c r="D9" s="98"/>
      <c r="E9" s="99"/>
      <c r="F9" s="126"/>
      <c r="G9" s="127"/>
      <c r="H9" s="98"/>
      <c r="I9" s="98"/>
      <c r="J9" s="102"/>
      <c r="K9" s="17"/>
    </row>
    <row r="10" spans="1:11">
      <c r="A10" s="98">
        <v>4</v>
      </c>
      <c r="B10" s="98"/>
      <c r="C10" s="98"/>
      <c r="D10" s="98"/>
      <c r="E10" s="99"/>
      <c r="F10" s="126"/>
      <c r="G10" s="127"/>
      <c r="H10" s="98"/>
      <c r="I10" s="98"/>
      <c r="J10" s="102"/>
      <c r="K10" s="17"/>
    </row>
    <row r="11" spans="1:11">
      <c r="A11" s="98">
        <v>5</v>
      </c>
      <c r="B11" s="98"/>
      <c r="C11" s="98"/>
      <c r="D11" s="98"/>
      <c r="E11" s="99"/>
      <c r="F11" s="126"/>
      <c r="G11" s="127"/>
      <c r="H11" s="98"/>
      <c r="I11" s="98"/>
      <c r="J11" s="102"/>
      <c r="K11" s="17"/>
    </row>
    <row r="12" spans="1:11">
      <c r="A12" s="98">
        <v>6</v>
      </c>
      <c r="B12" s="98"/>
      <c r="C12" s="98"/>
      <c r="D12" s="98"/>
      <c r="E12" s="99"/>
      <c r="F12" s="126"/>
      <c r="G12" s="127"/>
      <c r="H12" s="98"/>
      <c r="I12" s="98"/>
      <c r="J12" s="102"/>
      <c r="K12" s="17"/>
    </row>
    <row r="13" spans="1:11">
      <c r="A13" s="98">
        <v>7</v>
      </c>
      <c r="B13" s="98"/>
      <c r="C13" s="98"/>
      <c r="D13" s="98"/>
      <c r="E13" s="99"/>
      <c r="F13" s="126"/>
      <c r="G13" s="127"/>
      <c r="H13" s="98"/>
      <c r="I13" s="98"/>
      <c r="J13" s="102"/>
      <c r="K13" s="17"/>
    </row>
    <row r="14" spans="1:11">
      <c r="A14" s="98">
        <v>8</v>
      </c>
      <c r="B14" s="98"/>
      <c r="C14" s="98"/>
      <c r="D14" s="98"/>
      <c r="E14" s="99"/>
      <c r="F14" s="126"/>
      <c r="G14" s="127"/>
      <c r="H14" s="98"/>
      <c r="I14" s="98"/>
      <c r="J14" s="102"/>
      <c r="K14" s="17"/>
    </row>
    <row r="15" spans="1:11">
      <c r="A15" s="98">
        <v>9</v>
      </c>
      <c r="B15" s="98"/>
      <c r="C15" s="98"/>
      <c r="D15" s="98"/>
      <c r="E15" s="99"/>
      <c r="F15" s="126"/>
      <c r="G15" s="127"/>
      <c r="H15" s="98"/>
      <c r="I15" s="98"/>
      <c r="J15" s="102"/>
      <c r="K15" s="17"/>
    </row>
    <row r="16" spans="1:11">
      <c r="A16" s="98">
        <v>10</v>
      </c>
      <c r="B16" s="98"/>
      <c r="C16" s="98"/>
      <c r="D16" s="98"/>
      <c r="E16" s="99"/>
      <c r="F16" s="126"/>
      <c r="G16" s="127"/>
      <c r="H16" s="98"/>
      <c r="I16" s="98"/>
      <c r="J16" s="102"/>
      <c r="K16" s="17"/>
    </row>
    <row r="17" spans="1:11">
      <c r="A17" s="98">
        <v>11</v>
      </c>
      <c r="B17" s="98"/>
      <c r="C17" s="98"/>
      <c r="D17" s="98"/>
      <c r="E17" s="99"/>
      <c r="F17" s="126"/>
      <c r="G17" s="127"/>
      <c r="H17" s="98"/>
      <c r="I17" s="98"/>
      <c r="J17" s="102"/>
      <c r="K17" s="17"/>
    </row>
    <row r="18" spans="1:11">
      <c r="A18" s="98">
        <v>12</v>
      </c>
      <c r="B18" s="98"/>
      <c r="C18" s="98"/>
      <c r="D18" s="98"/>
      <c r="E18" s="99"/>
      <c r="F18" s="126"/>
      <c r="G18" s="127"/>
      <c r="H18" s="98"/>
      <c r="I18" s="98"/>
      <c r="J18" s="102"/>
      <c r="K18" s="17"/>
    </row>
    <row r="19" spans="1:11">
      <c r="A19" s="98">
        <v>13</v>
      </c>
      <c r="B19" s="98"/>
      <c r="C19" s="98"/>
      <c r="D19" s="98"/>
      <c r="E19" s="99"/>
      <c r="F19" s="126"/>
      <c r="G19" s="127"/>
      <c r="H19" s="98"/>
      <c r="I19" s="98"/>
      <c r="J19" s="102"/>
      <c r="K19" s="17"/>
    </row>
    <row r="20" spans="1:11">
      <c r="A20" s="98">
        <v>14</v>
      </c>
      <c r="B20" s="98"/>
      <c r="C20" s="98"/>
      <c r="D20" s="98"/>
      <c r="E20" s="99"/>
      <c r="F20" s="126"/>
      <c r="G20" s="127"/>
      <c r="H20" s="98"/>
      <c r="I20" s="98"/>
      <c r="J20" s="102"/>
      <c r="K20" s="17"/>
    </row>
    <row r="21" spans="1:11">
      <c r="A21" s="98">
        <v>15</v>
      </c>
      <c r="B21" s="98"/>
      <c r="C21" s="98"/>
      <c r="D21" s="98"/>
      <c r="E21" s="99"/>
      <c r="F21" s="126"/>
      <c r="G21" s="127"/>
      <c r="H21" s="98"/>
      <c r="I21" s="98"/>
      <c r="J21" s="102"/>
      <c r="K21" s="17"/>
    </row>
    <row r="22" spans="1:11">
      <c r="A22" s="98">
        <v>16</v>
      </c>
      <c r="B22" s="98"/>
      <c r="C22" s="98"/>
      <c r="D22" s="98"/>
      <c r="E22" s="99"/>
      <c r="F22" s="126"/>
      <c r="G22" s="127"/>
      <c r="H22" s="98"/>
      <c r="I22" s="98"/>
      <c r="J22" s="102"/>
      <c r="K22" s="17"/>
    </row>
    <row r="23" spans="1:11">
      <c r="A23" s="98">
        <v>17</v>
      </c>
      <c r="B23" s="98"/>
      <c r="C23" s="98"/>
      <c r="D23" s="98"/>
      <c r="E23" s="99"/>
      <c r="F23" s="126"/>
      <c r="G23" s="127"/>
      <c r="H23" s="98"/>
      <c r="I23" s="98"/>
      <c r="J23" s="102"/>
      <c r="K23" s="17"/>
    </row>
    <row r="24" spans="1:11">
      <c r="A24" s="98">
        <v>18</v>
      </c>
      <c r="B24" s="98"/>
      <c r="C24" s="98"/>
      <c r="D24" s="98"/>
      <c r="E24" s="99"/>
      <c r="F24" s="126"/>
      <c r="G24" s="127"/>
      <c r="H24" s="98"/>
      <c r="I24" s="98"/>
      <c r="J24" s="102"/>
      <c r="K24" s="17"/>
    </row>
    <row r="25" spans="1:11">
      <c r="A25" s="98">
        <v>19</v>
      </c>
      <c r="B25" s="98"/>
      <c r="C25" s="98"/>
      <c r="D25" s="98"/>
      <c r="E25" s="99"/>
      <c r="F25" s="126"/>
      <c r="G25" s="127"/>
      <c r="H25" s="98"/>
      <c r="I25" s="98"/>
      <c r="J25" s="102"/>
      <c r="K25" s="17"/>
    </row>
    <row r="26" spans="1:11">
      <c r="A26" s="98">
        <v>20</v>
      </c>
      <c r="B26" s="98"/>
      <c r="C26" s="98"/>
      <c r="D26" s="98"/>
      <c r="E26" s="99"/>
      <c r="F26" s="126"/>
      <c r="G26" s="127"/>
      <c r="H26" s="98"/>
      <c r="I26" s="98"/>
      <c r="J26" s="102"/>
      <c r="K26" s="17"/>
    </row>
    <row r="27" spans="1:11">
      <c r="A27" s="98">
        <v>21</v>
      </c>
      <c r="B27" s="98"/>
      <c r="C27" s="98"/>
      <c r="D27" s="98"/>
      <c r="E27" s="99"/>
      <c r="F27" s="126"/>
      <c r="G27" s="127"/>
      <c r="H27" s="98"/>
      <c r="I27" s="98"/>
      <c r="J27" s="102"/>
      <c r="K27" s="17"/>
    </row>
    <row r="28" spans="1:11">
      <c r="A28" s="98">
        <v>22</v>
      </c>
      <c r="B28" s="98"/>
      <c r="C28" s="98"/>
      <c r="D28" s="98"/>
      <c r="E28" s="99"/>
      <c r="F28" s="126"/>
      <c r="G28" s="127"/>
      <c r="H28" s="98"/>
      <c r="I28" s="98"/>
      <c r="J28" s="102"/>
      <c r="K28" s="17"/>
    </row>
    <row r="29" spans="1:11">
      <c r="A29" s="98">
        <v>23</v>
      </c>
      <c r="B29" s="98"/>
      <c r="C29" s="98"/>
      <c r="D29" s="98"/>
      <c r="E29" s="99"/>
      <c r="F29" s="126"/>
      <c r="G29" s="127"/>
      <c r="H29" s="98"/>
      <c r="I29" s="98"/>
      <c r="J29" s="102"/>
      <c r="K29" s="17"/>
    </row>
    <row r="30" spans="1:11">
      <c r="A30" s="98">
        <v>24</v>
      </c>
      <c r="B30" s="98"/>
      <c r="C30" s="98"/>
      <c r="D30" s="98"/>
      <c r="E30" s="99"/>
      <c r="F30" s="126"/>
      <c r="G30" s="127"/>
      <c r="H30" s="98"/>
      <c r="I30" s="98"/>
      <c r="J30" s="102"/>
      <c r="K30" s="17"/>
    </row>
    <row r="31" spans="1:11">
      <c r="A31" s="98">
        <v>25</v>
      </c>
      <c r="B31" s="98"/>
      <c r="C31" s="98"/>
      <c r="D31" s="98"/>
      <c r="E31" s="99"/>
      <c r="F31" s="126"/>
      <c r="G31" s="127"/>
      <c r="H31" s="98"/>
      <c r="I31" s="98"/>
      <c r="J31" s="102"/>
      <c r="K31" s="17"/>
    </row>
    <row r="32" spans="1:11">
      <c r="A32" s="98">
        <v>26</v>
      </c>
      <c r="B32" s="98"/>
      <c r="C32" s="98"/>
      <c r="D32" s="98"/>
      <c r="E32" s="99"/>
      <c r="F32" s="126"/>
      <c r="G32" s="127"/>
      <c r="H32" s="98"/>
      <c r="I32" s="98"/>
      <c r="J32" s="102"/>
      <c r="K32" s="17"/>
    </row>
    <row r="33" spans="1:11">
      <c r="A33" s="98">
        <v>27</v>
      </c>
      <c r="B33" s="98"/>
      <c r="C33" s="98"/>
      <c r="D33" s="98"/>
      <c r="E33" s="99"/>
      <c r="F33" s="126"/>
      <c r="G33" s="127"/>
      <c r="H33" s="98"/>
      <c r="I33" s="98"/>
      <c r="J33" s="102"/>
      <c r="K33" s="17"/>
    </row>
    <row r="34" spans="1:11">
      <c r="A34" s="98">
        <v>28</v>
      </c>
      <c r="B34" s="98"/>
      <c r="C34" s="98"/>
      <c r="D34" s="98"/>
      <c r="E34" s="99"/>
      <c r="F34" s="126"/>
      <c r="G34" s="127"/>
      <c r="H34" s="98"/>
      <c r="I34" s="98"/>
      <c r="J34" s="102"/>
      <c r="K34" s="17"/>
    </row>
    <row r="35" spans="1:11">
      <c r="A35" s="98">
        <v>29</v>
      </c>
      <c r="B35" s="98"/>
      <c r="C35" s="98"/>
      <c r="D35" s="98"/>
      <c r="E35" s="99"/>
      <c r="F35" s="126"/>
      <c r="G35" s="127"/>
      <c r="H35" s="98"/>
      <c r="I35" s="98"/>
      <c r="J35" s="102"/>
      <c r="K35" s="17"/>
    </row>
    <row r="36" spans="1:11">
      <c r="A36" s="98">
        <v>30</v>
      </c>
      <c r="B36" s="98"/>
      <c r="C36" s="98"/>
      <c r="D36" s="98"/>
      <c r="E36" s="99"/>
      <c r="F36" s="126"/>
      <c r="G36" s="127"/>
      <c r="H36" s="98"/>
      <c r="I36" s="98"/>
      <c r="J36" s="102"/>
      <c r="K36" s="17"/>
    </row>
    <row r="37" spans="1:11">
      <c r="A37" s="103"/>
      <c r="B37" s="206" t="s">
        <v>98</v>
      </c>
      <c r="C37" s="206"/>
      <c r="D37" s="103"/>
      <c r="E37" s="104"/>
      <c r="F37" s="105">
        <f>SUM(F7:F36)</f>
        <v>0</v>
      </c>
      <c r="G37" s="106">
        <f>SUM(G7:G36)</f>
        <v>0</v>
      </c>
      <c r="H37" s="103"/>
      <c r="I37" s="103"/>
      <c r="J37" s="107"/>
      <c r="K37" s="108"/>
    </row>
    <row r="38" spans="1:11">
      <c r="A38" s="109"/>
      <c r="B38" s="109"/>
      <c r="C38" s="109"/>
      <c r="D38" s="109"/>
      <c r="E38" s="110"/>
      <c r="F38" s="128"/>
      <c r="G38" s="129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28"/>
      <c r="G39" s="129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28"/>
      <c r="G40" s="129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28"/>
      <c r="G41" s="129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28"/>
      <c r="G42" s="129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28"/>
      <c r="G43" s="129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28"/>
      <c r="G44" s="129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28"/>
      <c r="G45" s="129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28"/>
      <c r="G46" s="129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28"/>
      <c r="G47" s="129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28"/>
      <c r="G48" s="129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28"/>
      <c r="G49" s="129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28"/>
      <c r="G50" s="129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28"/>
      <c r="G51" s="129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28"/>
      <c r="G52" s="129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28"/>
      <c r="G53" s="129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28"/>
      <c r="G54" s="129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28"/>
      <c r="G55" s="129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28"/>
      <c r="G56" s="129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28"/>
      <c r="G57" s="129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28"/>
      <c r="G58" s="129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28"/>
      <c r="G59" s="129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28"/>
      <c r="G60" s="129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28"/>
      <c r="G61" s="129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28"/>
      <c r="G62" s="129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28"/>
      <c r="G63" s="129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28"/>
      <c r="G64" s="129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28"/>
      <c r="G65" s="129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28"/>
      <c r="G66" s="129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28"/>
      <c r="G67" s="129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28"/>
      <c r="G68" s="129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28"/>
      <c r="G69" s="129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28"/>
      <c r="G70" s="129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28"/>
      <c r="G71" s="129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28"/>
      <c r="G72" s="129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28"/>
      <c r="G73" s="129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28"/>
      <c r="G74" s="129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28"/>
      <c r="G75" s="129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28"/>
      <c r="G76" s="129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28"/>
      <c r="G77" s="129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28"/>
      <c r="G78" s="129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28"/>
      <c r="G79" s="129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28"/>
      <c r="G80" s="129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28"/>
      <c r="G81" s="129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28"/>
      <c r="G82" s="129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28"/>
      <c r="G83" s="129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28"/>
      <c r="G84" s="129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28"/>
      <c r="G85" s="129"/>
      <c r="H85" s="109"/>
      <c r="I85" s="109"/>
      <c r="J85" s="113"/>
    </row>
    <row r="86" spans="1:10">
      <c r="A86" s="109"/>
      <c r="B86" s="109"/>
      <c r="C86" s="109"/>
      <c r="D86" s="109"/>
      <c r="E86" s="110"/>
      <c r="F86" s="128"/>
      <c r="G86" s="129"/>
      <c r="H86" s="109"/>
      <c r="I86" s="109"/>
      <c r="J86" s="113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7200-000000000000}"/>
  </hyperlinks>
  <pageMargins left="0.7" right="0.7" top="0.75" bottom="0.75" header="0.3" footer="0.3"/>
  <pageSetup paperSize="9" scale="70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FFFF00"/>
    <pageSetUpPr fitToPage="1"/>
  </sheetPr>
  <dimension ref="A1:K118"/>
  <sheetViews>
    <sheetView rightToLeft="1" view="pageBreakPreview" topLeftCell="A2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5.33203125" style="1" bestFit="1" customWidth="1"/>
    <col min="3" max="3" width="18.5546875" style="1" bestFit="1" customWidth="1"/>
    <col min="4" max="4" width="7.109375" style="1" bestFit="1" customWidth="1"/>
    <col min="5" max="5" width="11" style="73" bestFit="1" customWidth="1"/>
    <col min="6" max="6" width="21.44140625" style="78" bestFit="1" customWidth="1"/>
    <col min="7" max="7" width="10.109375" style="122" customWidth="1"/>
    <col min="8" max="8" width="13.44140625" style="1" bestFit="1" customWidth="1"/>
    <col min="9" max="9" width="9.44140625" style="1" bestFit="1" customWidth="1"/>
    <col min="10" max="10" width="13.554687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110</v>
      </c>
      <c r="B2" s="202" t="s">
        <v>54</v>
      </c>
      <c r="C2" s="203"/>
      <c r="D2" s="85"/>
      <c r="E2" s="86" t="s">
        <v>8</v>
      </c>
      <c r="F2" s="17">
        <v>1992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23" t="s">
        <v>968</v>
      </c>
      <c r="D3" s="89"/>
      <c r="E3" s="86" t="s">
        <v>68</v>
      </c>
      <c r="F3" s="17" t="s">
        <v>74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03">
        <v>1</v>
      </c>
      <c r="B7" s="103" t="s">
        <v>3</v>
      </c>
      <c r="C7" s="103" t="s">
        <v>7</v>
      </c>
      <c r="D7" s="103" t="s">
        <v>8</v>
      </c>
      <c r="E7" s="104" t="s">
        <v>68</v>
      </c>
      <c r="F7" s="124" t="s">
        <v>69</v>
      </c>
      <c r="G7" s="125" t="s">
        <v>6</v>
      </c>
      <c r="H7" s="103" t="s">
        <v>2</v>
      </c>
      <c r="I7" s="103"/>
      <c r="J7" s="107" t="s">
        <v>1</v>
      </c>
      <c r="K7" s="2" t="s">
        <v>5</v>
      </c>
    </row>
    <row r="8" spans="1:11">
      <c r="A8" s="98">
        <v>1</v>
      </c>
      <c r="B8" s="98"/>
      <c r="C8" s="98"/>
      <c r="D8" s="98"/>
      <c r="E8" s="99"/>
      <c r="F8" s="126"/>
      <c r="G8" s="127"/>
      <c r="H8" s="98"/>
      <c r="I8" s="98"/>
      <c r="J8" s="102"/>
      <c r="K8" s="17"/>
    </row>
    <row r="9" spans="1:11">
      <c r="A9" s="98">
        <v>2</v>
      </c>
      <c r="B9" s="98"/>
      <c r="C9" s="98"/>
      <c r="D9" s="98"/>
      <c r="E9" s="99"/>
      <c r="F9" s="126"/>
      <c r="G9" s="127"/>
      <c r="H9" s="98"/>
      <c r="I9" s="98"/>
      <c r="J9" s="102"/>
      <c r="K9" s="17"/>
    </row>
    <row r="10" spans="1:11">
      <c r="A10" s="98">
        <v>3</v>
      </c>
      <c r="B10" s="98"/>
      <c r="C10" s="98"/>
      <c r="D10" s="98"/>
      <c r="E10" s="99"/>
      <c r="F10" s="126"/>
      <c r="G10" s="127"/>
      <c r="H10" s="98"/>
      <c r="I10" s="98"/>
      <c r="J10" s="102"/>
      <c r="K10" s="17"/>
    </row>
    <row r="11" spans="1:11">
      <c r="A11" s="98">
        <v>4</v>
      </c>
      <c r="B11" s="98"/>
      <c r="C11" s="98"/>
      <c r="D11" s="98"/>
      <c r="E11" s="99"/>
      <c r="F11" s="126"/>
      <c r="G11" s="127"/>
      <c r="H11" s="98"/>
      <c r="I11" s="98"/>
      <c r="J11" s="102"/>
      <c r="K11" s="17"/>
    </row>
    <row r="12" spans="1:11">
      <c r="A12" s="98">
        <v>5</v>
      </c>
      <c r="B12" s="98"/>
      <c r="C12" s="98"/>
      <c r="D12" s="98"/>
      <c r="E12" s="99"/>
      <c r="F12" s="126"/>
      <c r="G12" s="127"/>
      <c r="H12" s="98"/>
      <c r="I12" s="98"/>
      <c r="J12" s="102"/>
      <c r="K12" s="17"/>
    </row>
    <row r="13" spans="1:11">
      <c r="A13" s="98">
        <v>6</v>
      </c>
      <c r="B13" s="98"/>
      <c r="C13" s="98"/>
      <c r="D13" s="98"/>
      <c r="E13" s="99"/>
      <c r="F13" s="126"/>
      <c r="G13" s="127"/>
      <c r="H13" s="98"/>
      <c r="I13" s="98"/>
      <c r="J13" s="102"/>
      <c r="K13" s="17"/>
    </row>
    <row r="14" spans="1:11">
      <c r="A14" s="98">
        <v>7</v>
      </c>
      <c r="B14" s="98"/>
      <c r="C14" s="98"/>
      <c r="D14" s="98"/>
      <c r="E14" s="99"/>
      <c r="F14" s="126"/>
      <c r="G14" s="127"/>
      <c r="H14" s="98"/>
      <c r="I14" s="98"/>
      <c r="J14" s="102"/>
      <c r="K14" s="17"/>
    </row>
    <row r="15" spans="1:11">
      <c r="A15" s="98">
        <v>8</v>
      </c>
      <c r="B15" s="98"/>
      <c r="C15" s="98"/>
      <c r="D15" s="98"/>
      <c r="E15" s="99"/>
      <c r="F15" s="126"/>
      <c r="G15" s="127"/>
      <c r="H15" s="98"/>
      <c r="I15" s="98"/>
      <c r="J15" s="102"/>
      <c r="K15" s="17"/>
    </row>
    <row r="16" spans="1:11">
      <c r="A16" s="98">
        <v>9</v>
      </c>
      <c r="B16" s="98"/>
      <c r="C16" s="98"/>
      <c r="D16" s="98"/>
      <c r="E16" s="99"/>
      <c r="F16" s="126"/>
      <c r="G16" s="127"/>
      <c r="H16" s="98"/>
      <c r="I16" s="98"/>
      <c r="J16" s="102"/>
      <c r="K16" s="17"/>
    </row>
    <row r="17" spans="1:11">
      <c r="A17" s="98">
        <v>10</v>
      </c>
      <c r="B17" s="98"/>
      <c r="C17" s="98"/>
      <c r="D17" s="98"/>
      <c r="E17" s="99"/>
      <c r="F17" s="126"/>
      <c r="G17" s="127"/>
      <c r="H17" s="98"/>
      <c r="I17" s="98"/>
      <c r="J17" s="102"/>
      <c r="K17" s="17"/>
    </row>
    <row r="18" spans="1:11">
      <c r="A18" s="98">
        <v>11</v>
      </c>
      <c r="B18" s="98"/>
      <c r="C18" s="98"/>
      <c r="D18" s="98"/>
      <c r="E18" s="99"/>
      <c r="F18" s="126"/>
      <c r="G18" s="127"/>
      <c r="H18" s="98"/>
      <c r="I18" s="98"/>
      <c r="J18" s="102"/>
      <c r="K18" s="17"/>
    </row>
    <row r="19" spans="1:11">
      <c r="A19" s="98">
        <v>12</v>
      </c>
      <c r="B19" s="98"/>
      <c r="C19" s="98"/>
      <c r="D19" s="98"/>
      <c r="E19" s="99"/>
      <c r="F19" s="126"/>
      <c r="G19" s="127"/>
      <c r="H19" s="98"/>
      <c r="I19" s="98"/>
      <c r="J19" s="102"/>
      <c r="K19" s="17"/>
    </row>
    <row r="20" spans="1:11">
      <c r="A20" s="98">
        <v>13</v>
      </c>
      <c r="B20" s="98"/>
      <c r="C20" s="98"/>
      <c r="D20" s="98"/>
      <c r="E20" s="99"/>
      <c r="F20" s="126"/>
      <c r="G20" s="127"/>
      <c r="H20" s="98"/>
      <c r="I20" s="98"/>
      <c r="J20" s="102"/>
      <c r="K20" s="17"/>
    </row>
    <row r="21" spans="1:11">
      <c r="A21" s="98">
        <v>14</v>
      </c>
      <c r="B21" s="98"/>
      <c r="C21" s="98"/>
      <c r="D21" s="98"/>
      <c r="E21" s="99"/>
      <c r="F21" s="126"/>
      <c r="G21" s="127"/>
      <c r="H21" s="98"/>
      <c r="I21" s="98"/>
      <c r="J21" s="102"/>
      <c r="K21" s="17"/>
    </row>
    <row r="22" spans="1:11">
      <c r="A22" s="98">
        <v>15</v>
      </c>
      <c r="B22" s="98"/>
      <c r="C22" s="98"/>
      <c r="D22" s="98"/>
      <c r="E22" s="99"/>
      <c r="F22" s="126"/>
      <c r="G22" s="127"/>
      <c r="H22" s="98"/>
      <c r="I22" s="98"/>
      <c r="J22" s="102"/>
      <c r="K22" s="17"/>
    </row>
    <row r="23" spans="1:11">
      <c r="A23" s="98">
        <v>16</v>
      </c>
      <c r="B23" s="98"/>
      <c r="C23" s="98"/>
      <c r="D23" s="98"/>
      <c r="E23" s="99"/>
      <c r="F23" s="126"/>
      <c r="G23" s="127"/>
      <c r="H23" s="98"/>
      <c r="I23" s="98"/>
      <c r="J23" s="102"/>
      <c r="K23" s="17"/>
    </row>
    <row r="24" spans="1:11">
      <c r="A24" s="98">
        <v>17</v>
      </c>
      <c r="B24" s="98"/>
      <c r="C24" s="98"/>
      <c r="D24" s="98"/>
      <c r="E24" s="99"/>
      <c r="F24" s="126"/>
      <c r="G24" s="127"/>
      <c r="H24" s="98"/>
      <c r="I24" s="98"/>
      <c r="J24" s="102"/>
      <c r="K24" s="17"/>
    </row>
    <row r="25" spans="1:11">
      <c r="A25" s="98">
        <v>18</v>
      </c>
      <c r="B25" s="98"/>
      <c r="C25" s="98"/>
      <c r="D25" s="98"/>
      <c r="E25" s="99"/>
      <c r="F25" s="126"/>
      <c r="G25" s="127"/>
      <c r="H25" s="98"/>
      <c r="I25" s="98"/>
      <c r="J25" s="102"/>
      <c r="K25" s="17"/>
    </row>
    <row r="26" spans="1:11">
      <c r="A26" s="98">
        <v>19</v>
      </c>
      <c r="B26" s="98"/>
      <c r="C26" s="98"/>
      <c r="D26" s="98"/>
      <c r="E26" s="99"/>
      <c r="F26" s="126"/>
      <c r="G26" s="127"/>
      <c r="H26" s="98"/>
      <c r="I26" s="98"/>
      <c r="J26" s="102"/>
      <c r="K26" s="17"/>
    </row>
    <row r="27" spans="1:11">
      <c r="A27" s="98">
        <v>20</v>
      </c>
      <c r="B27" s="98"/>
      <c r="C27" s="98"/>
      <c r="D27" s="98"/>
      <c r="E27" s="99"/>
      <c r="F27" s="126"/>
      <c r="G27" s="127"/>
      <c r="H27" s="98"/>
      <c r="I27" s="98"/>
      <c r="J27" s="102"/>
      <c r="K27" s="17"/>
    </row>
    <row r="28" spans="1:11">
      <c r="A28" s="98">
        <v>21</v>
      </c>
      <c r="B28" s="98"/>
      <c r="C28" s="98"/>
      <c r="D28" s="98"/>
      <c r="E28" s="99"/>
      <c r="F28" s="126"/>
      <c r="G28" s="127"/>
      <c r="H28" s="98"/>
      <c r="I28" s="98"/>
      <c r="J28" s="102"/>
      <c r="K28" s="17"/>
    </row>
    <row r="29" spans="1:11">
      <c r="A29" s="98">
        <v>22</v>
      </c>
      <c r="B29" s="98"/>
      <c r="C29" s="98"/>
      <c r="D29" s="98"/>
      <c r="E29" s="99"/>
      <c r="F29" s="126"/>
      <c r="G29" s="127"/>
      <c r="H29" s="98"/>
      <c r="I29" s="98"/>
      <c r="J29" s="102"/>
      <c r="K29" s="17"/>
    </row>
    <row r="30" spans="1:11">
      <c r="A30" s="98">
        <v>23</v>
      </c>
      <c r="B30" s="98"/>
      <c r="C30" s="98"/>
      <c r="D30" s="98"/>
      <c r="E30" s="99"/>
      <c r="F30" s="126"/>
      <c r="G30" s="127"/>
      <c r="H30" s="98"/>
      <c r="I30" s="98"/>
      <c r="J30" s="102"/>
      <c r="K30" s="17"/>
    </row>
    <row r="31" spans="1:11">
      <c r="A31" s="98">
        <v>24</v>
      </c>
      <c r="B31" s="98"/>
      <c r="C31" s="98"/>
      <c r="D31" s="98"/>
      <c r="E31" s="99"/>
      <c r="F31" s="126"/>
      <c r="G31" s="127"/>
      <c r="H31" s="98"/>
      <c r="I31" s="98"/>
      <c r="J31" s="102"/>
      <c r="K31" s="17"/>
    </row>
    <row r="32" spans="1:11">
      <c r="A32" s="98">
        <v>25</v>
      </c>
      <c r="B32" s="98"/>
      <c r="C32" s="98"/>
      <c r="D32" s="98"/>
      <c r="E32" s="99"/>
      <c r="F32" s="126"/>
      <c r="G32" s="127"/>
      <c r="H32" s="98"/>
      <c r="I32" s="98"/>
      <c r="J32" s="102"/>
      <c r="K32" s="17"/>
    </row>
    <row r="33" spans="1:11">
      <c r="A33" s="98">
        <v>26</v>
      </c>
      <c r="B33" s="98"/>
      <c r="C33" s="98"/>
      <c r="D33" s="98"/>
      <c r="E33" s="99"/>
      <c r="F33" s="126"/>
      <c r="G33" s="127"/>
      <c r="H33" s="98"/>
      <c r="I33" s="98"/>
      <c r="J33" s="102"/>
      <c r="K33" s="17"/>
    </row>
    <row r="34" spans="1:11">
      <c r="A34" s="98">
        <v>27</v>
      </c>
      <c r="B34" s="98"/>
      <c r="C34" s="98"/>
      <c r="D34" s="98"/>
      <c r="E34" s="99"/>
      <c r="F34" s="126"/>
      <c r="G34" s="127"/>
      <c r="H34" s="98"/>
      <c r="I34" s="98"/>
      <c r="J34" s="102"/>
      <c r="K34" s="17"/>
    </row>
    <row r="35" spans="1:11">
      <c r="A35" s="98">
        <v>28</v>
      </c>
      <c r="B35" s="98"/>
      <c r="C35" s="98"/>
      <c r="D35" s="98"/>
      <c r="E35" s="99"/>
      <c r="F35" s="126"/>
      <c r="G35" s="127"/>
      <c r="H35" s="98"/>
      <c r="I35" s="98"/>
      <c r="J35" s="102"/>
      <c r="K35" s="17"/>
    </row>
    <row r="36" spans="1:11">
      <c r="A36" s="98">
        <v>29</v>
      </c>
      <c r="B36" s="98"/>
      <c r="C36" s="98"/>
      <c r="D36" s="98"/>
      <c r="E36" s="99"/>
      <c r="F36" s="126"/>
      <c r="G36" s="127"/>
      <c r="H36" s="98"/>
      <c r="I36" s="98"/>
      <c r="J36" s="102"/>
      <c r="K36" s="17"/>
    </row>
    <row r="37" spans="1:11">
      <c r="A37" s="103"/>
      <c r="B37" s="206" t="s">
        <v>98</v>
      </c>
      <c r="C37" s="206"/>
      <c r="D37" s="103"/>
      <c r="E37" s="104"/>
      <c r="F37" s="105">
        <f>SUM(F7:F36)</f>
        <v>0</v>
      </c>
      <c r="G37" s="106">
        <f>SUM(G7:G36)</f>
        <v>0</v>
      </c>
      <c r="H37" s="103"/>
      <c r="I37" s="103"/>
      <c r="J37" s="107"/>
      <c r="K37" s="108"/>
    </row>
    <row r="38" spans="1:11">
      <c r="A38" s="109"/>
      <c r="B38" s="109"/>
      <c r="C38" s="109"/>
      <c r="D38" s="109"/>
      <c r="E38" s="110"/>
      <c r="F38" s="128"/>
      <c r="G38" s="129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28"/>
      <c r="G39" s="129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28"/>
      <c r="G40" s="129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28"/>
      <c r="G41" s="129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28"/>
      <c r="G42" s="129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28"/>
      <c r="G43" s="129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28"/>
      <c r="G44" s="129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28"/>
      <c r="G45" s="129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28"/>
      <c r="G46" s="129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28"/>
      <c r="G47" s="129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28"/>
      <c r="G48" s="129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28"/>
      <c r="G49" s="129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28"/>
      <c r="G50" s="129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28"/>
      <c r="G51" s="129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28"/>
      <c r="G52" s="129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28"/>
      <c r="G53" s="129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28"/>
      <c r="G54" s="129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28"/>
      <c r="G55" s="129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28"/>
      <c r="G56" s="129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28"/>
      <c r="G57" s="129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28"/>
      <c r="G58" s="129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28"/>
      <c r="G59" s="129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28"/>
      <c r="G60" s="129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28"/>
      <c r="G61" s="129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28"/>
      <c r="G62" s="129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28"/>
      <c r="G63" s="129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28"/>
      <c r="G64" s="129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28"/>
      <c r="G65" s="129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28"/>
      <c r="G66" s="129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28"/>
      <c r="G67" s="129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28"/>
      <c r="G68" s="129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28"/>
      <c r="G69" s="129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28"/>
      <c r="G70" s="129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28"/>
      <c r="G71" s="129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28"/>
      <c r="G72" s="129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28"/>
      <c r="G73" s="129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28"/>
      <c r="G74" s="129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28"/>
      <c r="G75" s="129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28"/>
      <c r="G76" s="129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28"/>
      <c r="G77" s="129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28"/>
      <c r="G78" s="129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28"/>
      <c r="G79" s="129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28"/>
      <c r="G80" s="129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28"/>
      <c r="G81" s="129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28"/>
      <c r="G82" s="129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28"/>
      <c r="G83" s="129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28"/>
      <c r="G84" s="129"/>
      <c r="H84" s="109"/>
      <c r="I84" s="109"/>
      <c r="J84" s="113"/>
    </row>
    <row r="85" spans="1:10">
      <c r="A85" s="109"/>
      <c r="B85" s="109"/>
      <c r="C85" s="109"/>
      <c r="D85" s="109"/>
      <c r="E85" s="110"/>
      <c r="F85" s="128"/>
      <c r="G85" s="129"/>
      <c r="H85" s="109"/>
      <c r="I85" s="109"/>
      <c r="J85" s="113"/>
    </row>
    <row r="86" spans="1:10">
      <c r="A86" s="109"/>
      <c r="B86" s="109"/>
      <c r="C86" s="109"/>
      <c r="D86" s="109"/>
      <c r="E86" s="110"/>
      <c r="F86" s="128"/>
      <c r="G86" s="129"/>
      <c r="H86" s="109"/>
      <c r="I86" s="109"/>
      <c r="J86" s="113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7:C37"/>
  </mergeCells>
  <hyperlinks>
    <hyperlink ref="K2" location="الاليات!A1" display="الاليات " xr:uid="{00000000-0004-0000-7300-000000000000}"/>
  </hyperlinks>
  <pageMargins left="0.7" right="0.7" top="0.75" bottom="0.75" header="0.3" footer="0.3"/>
  <pageSetup paperSize="9" scale="70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4.6640625" style="1" bestFit="1" customWidth="1"/>
    <col min="2" max="2" width="15.33203125" style="1" bestFit="1" customWidth="1"/>
    <col min="3" max="3" width="12.77734375" style="1" bestFit="1" customWidth="1"/>
    <col min="4" max="4" width="4.5546875" style="1" bestFit="1" customWidth="1"/>
    <col min="5" max="5" width="11" style="73" bestFit="1" customWidth="1"/>
    <col min="6" max="6" width="17" style="78" bestFit="1" customWidth="1"/>
    <col min="7" max="7" width="6.109375" style="122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111</v>
      </c>
      <c r="B2" s="202" t="s">
        <v>155</v>
      </c>
      <c r="C2" s="203"/>
      <c r="D2" s="85"/>
      <c r="E2" s="86" t="s">
        <v>8</v>
      </c>
      <c r="F2" s="17">
        <v>2011</v>
      </c>
      <c r="G2" s="89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969</v>
      </c>
      <c r="D3" s="89"/>
      <c r="E3" s="86" t="s">
        <v>68</v>
      </c>
      <c r="F3" s="89" t="s">
        <v>156</v>
      </c>
      <c r="G3" s="89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89"/>
      <c r="G4" s="81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37"/>
      <c r="G5" s="81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17">
        <v>1</v>
      </c>
      <c r="B7" s="17"/>
      <c r="C7" s="17"/>
      <c r="D7" s="17"/>
      <c r="E7" s="18"/>
      <c r="F7" s="24"/>
      <c r="G7" s="116"/>
      <c r="H7" s="17"/>
      <c r="I7" s="17"/>
      <c r="J7" s="117"/>
      <c r="K7" s="17"/>
    </row>
    <row r="8" spans="1:11">
      <c r="A8" s="17">
        <v>2</v>
      </c>
      <c r="B8" s="17"/>
      <c r="C8" s="17"/>
      <c r="D8" s="17"/>
      <c r="E8" s="18"/>
      <c r="F8" s="24"/>
      <c r="G8" s="116"/>
      <c r="H8" s="17"/>
      <c r="I8" s="17"/>
      <c r="J8" s="117"/>
      <c r="K8" s="17"/>
    </row>
    <row r="9" spans="1:11">
      <c r="A9" s="17">
        <v>3</v>
      </c>
      <c r="B9" s="17"/>
      <c r="C9" s="17"/>
      <c r="D9" s="17"/>
      <c r="E9" s="18"/>
      <c r="F9" s="24"/>
      <c r="G9" s="116"/>
      <c r="H9" s="17"/>
      <c r="I9" s="17"/>
      <c r="J9" s="117"/>
      <c r="K9" s="17"/>
    </row>
    <row r="10" spans="1:11">
      <c r="A10" s="17">
        <v>4</v>
      </c>
      <c r="B10" s="17"/>
      <c r="C10" s="17"/>
      <c r="D10" s="17"/>
      <c r="E10" s="18"/>
      <c r="F10" s="24"/>
      <c r="G10" s="116"/>
      <c r="H10" s="17"/>
      <c r="I10" s="17"/>
      <c r="J10" s="117"/>
      <c r="K10" s="17"/>
    </row>
    <row r="11" spans="1:11">
      <c r="A11" s="17">
        <v>5</v>
      </c>
      <c r="B11" s="17"/>
      <c r="C11" s="17"/>
      <c r="D11" s="17"/>
      <c r="E11" s="18"/>
      <c r="F11" s="24"/>
      <c r="G11" s="116"/>
      <c r="H11" s="17"/>
      <c r="I11" s="17"/>
      <c r="J11" s="117"/>
      <c r="K11" s="17"/>
    </row>
    <row r="12" spans="1:11">
      <c r="A12" s="17">
        <v>6</v>
      </c>
      <c r="B12" s="17"/>
      <c r="C12" s="17"/>
      <c r="D12" s="17"/>
      <c r="E12" s="18"/>
      <c r="F12" s="24"/>
      <c r="G12" s="116"/>
      <c r="H12" s="17"/>
      <c r="I12" s="17"/>
      <c r="J12" s="117"/>
      <c r="K12" s="17"/>
    </row>
    <row r="13" spans="1:11">
      <c r="A13" s="17">
        <v>7</v>
      </c>
      <c r="B13" s="17"/>
      <c r="C13" s="17"/>
      <c r="D13" s="17"/>
      <c r="E13" s="18"/>
      <c r="F13" s="24"/>
      <c r="G13" s="116"/>
      <c r="H13" s="17"/>
      <c r="I13" s="17"/>
      <c r="J13" s="117"/>
      <c r="K13" s="17"/>
    </row>
    <row r="14" spans="1:11">
      <c r="A14" s="17">
        <v>8</v>
      </c>
      <c r="B14" s="17"/>
      <c r="C14" s="17"/>
      <c r="D14" s="17"/>
      <c r="E14" s="18"/>
      <c r="F14" s="24"/>
      <c r="G14" s="116"/>
      <c r="H14" s="17"/>
      <c r="I14" s="17"/>
      <c r="J14" s="117"/>
      <c r="K14" s="17"/>
    </row>
    <row r="15" spans="1:11">
      <c r="A15" s="17">
        <v>9</v>
      </c>
      <c r="B15" s="17"/>
      <c r="C15" s="17"/>
      <c r="D15" s="17"/>
      <c r="E15" s="18"/>
      <c r="F15" s="24"/>
      <c r="G15" s="116"/>
      <c r="H15" s="17"/>
      <c r="I15" s="17"/>
      <c r="J15" s="117"/>
      <c r="K15" s="17"/>
    </row>
    <row r="16" spans="1:11">
      <c r="A16" s="17">
        <v>10</v>
      </c>
      <c r="B16" s="17"/>
      <c r="C16" s="17"/>
      <c r="D16" s="17"/>
      <c r="E16" s="18"/>
      <c r="F16" s="24"/>
      <c r="G16" s="116"/>
      <c r="H16" s="17"/>
      <c r="I16" s="17"/>
      <c r="J16" s="117"/>
      <c r="K16" s="17"/>
    </row>
    <row r="17" spans="1:11">
      <c r="A17" s="17">
        <v>11</v>
      </c>
      <c r="B17" s="17"/>
      <c r="C17" s="17"/>
      <c r="D17" s="17"/>
      <c r="E17" s="18"/>
      <c r="F17" s="24"/>
      <c r="G17" s="116"/>
      <c r="H17" s="17"/>
      <c r="I17" s="17"/>
      <c r="J17" s="117"/>
      <c r="K17" s="17"/>
    </row>
    <row r="18" spans="1:11">
      <c r="A18" s="17">
        <v>12</v>
      </c>
      <c r="B18" s="17"/>
      <c r="C18" s="17"/>
      <c r="D18" s="17"/>
      <c r="E18" s="18"/>
      <c r="F18" s="24"/>
      <c r="G18" s="116"/>
      <c r="H18" s="17"/>
      <c r="I18" s="17"/>
      <c r="J18" s="117"/>
      <c r="K18" s="17"/>
    </row>
    <row r="19" spans="1:11">
      <c r="A19" s="17">
        <v>13</v>
      </c>
      <c r="B19" s="17"/>
      <c r="C19" s="17"/>
      <c r="D19" s="17"/>
      <c r="E19" s="18"/>
      <c r="F19" s="24"/>
      <c r="G19" s="116"/>
      <c r="H19" s="17"/>
      <c r="I19" s="17"/>
      <c r="J19" s="117"/>
      <c r="K19" s="17"/>
    </row>
    <row r="20" spans="1:11">
      <c r="A20" s="17">
        <v>14</v>
      </c>
      <c r="B20" s="17"/>
      <c r="C20" s="17"/>
      <c r="D20" s="17"/>
      <c r="E20" s="18"/>
      <c r="F20" s="24"/>
      <c r="G20" s="116"/>
      <c r="H20" s="17"/>
      <c r="I20" s="17"/>
      <c r="J20" s="117"/>
      <c r="K20" s="17"/>
    </row>
    <row r="21" spans="1:11">
      <c r="A21" s="17">
        <v>15</v>
      </c>
      <c r="B21" s="17"/>
      <c r="C21" s="17"/>
      <c r="D21" s="17"/>
      <c r="E21" s="18"/>
      <c r="F21" s="24"/>
      <c r="G21" s="116"/>
      <c r="H21" s="17"/>
      <c r="I21" s="17"/>
      <c r="J21" s="117"/>
      <c r="K21" s="17"/>
    </row>
    <row r="22" spans="1:11">
      <c r="A22" s="17">
        <v>16</v>
      </c>
      <c r="B22" s="17"/>
      <c r="C22" s="17"/>
      <c r="D22" s="17"/>
      <c r="E22" s="18"/>
      <c r="F22" s="24"/>
      <c r="G22" s="116"/>
      <c r="H22" s="17"/>
      <c r="I22" s="17"/>
      <c r="J22" s="117"/>
      <c r="K22" s="17"/>
    </row>
    <row r="23" spans="1:11">
      <c r="A23" s="17">
        <v>17</v>
      </c>
      <c r="B23" s="17"/>
      <c r="C23" s="17"/>
      <c r="D23" s="17"/>
      <c r="E23" s="18"/>
      <c r="F23" s="24"/>
      <c r="G23" s="116"/>
      <c r="H23" s="17"/>
      <c r="I23" s="17"/>
      <c r="J23" s="117"/>
      <c r="K23" s="17"/>
    </row>
    <row r="24" spans="1:11">
      <c r="A24" s="17">
        <v>18</v>
      </c>
      <c r="B24" s="17"/>
      <c r="C24" s="17"/>
      <c r="D24" s="17"/>
      <c r="E24" s="18"/>
      <c r="F24" s="24"/>
      <c r="G24" s="116"/>
      <c r="H24" s="17"/>
      <c r="I24" s="17"/>
      <c r="J24" s="117"/>
      <c r="K24" s="17"/>
    </row>
    <row r="25" spans="1:11">
      <c r="A25" s="17">
        <v>19</v>
      </c>
      <c r="B25" s="17"/>
      <c r="C25" s="17"/>
      <c r="D25" s="17"/>
      <c r="E25" s="18"/>
      <c r="F25" s="24"/>
      <c r="G25" s="116"/>
      <c r="H25" s="17"/>
      <c r="I25" s="17"/>
      <c r="J25" s="117"/>
      <c r="K25" s="17"/>
    </row>
    <row r="26" spans="1:11">
      <c r="A26" s="17">
        <v>20</v>
      </c>
      <c r="B26" s="17"/>
      <c r="C26" s="17"/>
      <c r="D26" s="17"/>
      <c r="E26" s="18"/>
      <c r="F26" s="24"/>
      <c r="G26" s="116"/>
      <c r="H26" s="17"/>
      <c r="I26" s="17"/>
      <c r="J26" s="117"/>
      <c r="K26" s="17"/>
    </row>
    <row r="27" spans="1:11">
      <c r="A27" s="17">
        <v>21</v>
      </c>
      <c r="B27" s="17"/>
      <c r="C27" s="17"/>
      <c r="D27" s="17"/>
      <c r="E27" s="18"/>
      <c r="F27" s="24"/>
      <c r="G27" s="116"/>
      <c r="H27" s="17"/>
      <c r="I27" s="17"/>
      <c r="J27" s="117"/>
      <c r="K27" s="17"/>
    </row>
    <row r="28" spans="1:11">
      <c r="A28" s="17">
        <v>22</v>
      </c>
      <c r="B28" s="17"/>
      <c r="C28" s="17"/>
      <c r="D28" s="17"/>
      <c r="E28" s="18"/>
      <c r="F28" s="24"/>
      <c r="G28" s="116"/>
      <c r="H28" s="17"/>
      <c r="I28" s="17"/>
      <c r="J28" s="117"/>
      <c r="K28" s="17"/>
    </row>
    <row r="29" spans="1:11">
      <c r="A29" s="17">
        <v>23</v>
      </c>
      <c r="B29" s="17"/>
      <c r="C29" s="17"/>
      <c r="D29" s="17"/>
      <c r="E29" s="18"/>
      <c r="F29" s="24"/>
      <c r="G29" s="116"/>
      <c r="H29" s="17"/>
      <c r="I29" s="17"/>
      <c r="J29" s="117"/>
      <c r="K29" s="17"/>
    </row>
    <row r="30" spans="1:11">
      <c r="A30" s="17">
        <v>24</v>
      </c>
      <c r="B30" s="17"/>
      <c r="C30" s="17"/>
      <c r="D30" s="17"/>
      <c r="E30" s="18"/>
      <c r="F30" s="24"/>
      <c r="G30" s="116"/>
      <c r="H30" s="17"/>
      <c r="I30" s="17"/>
      <c r="J30" s="117"/>
      <c r="K30" s="17"/>
    </row>
    <row r="31" spans="1:11">
      <c r="A31" s="17">
        <v>25</v>
      </c>
      <c r="B31" s="17"/>
      <c r="C31" s="17"/>
      <c r="D31" s="17"/>
      <c r="E31" s="18"/>
      <c r="F31" s="24"/>
      <c r="G31" s="116"/>
      <c r="H31" s="17"/>
      <c r="I31" s="17"/>
      <c r="J31" s="117"/>
      <c r="K31" s="17"/>
    </row>
    <row r="32" spans="1:11">
      <c r="A32" s="17">
        <v>26</v>
      </c>
      <c r="B32" s="17"/>
      <c r="C32" s="17"/>
      <c r="D32" s="17"/>
      <c r="E32" s="18"/>
      <c r="F32" s="24"/>
      <c r="G32" s="116"/>
      <c r="H32" s="17"/>
      <c r="I32" s="17"/>
      <c r="J32" s="117"/>
      <c r="K32" s="17"/>
    </row>
    <row r="33" spans="1:11">
      <c r="A33" s="17">
        <v>27</v>
      </c>
      <c r="B33" s="17"/>
      <c r="C33" s="17"/>
      <c r="D33" s="17"/>
      <c r="E33" s="18"/>
      <c r="F33" s="24"/>
      <c r="G33" s="116"/>
      <c r="H33" s="17"/>
      <c r="I33" s="17"/>
      <c r="J33" s="117"/>
      <c r="K33" s="17"/>
    </row>
    <row r="34" spans="1:11">
      <c r="A34" s="108"/>
      <c r="B34" s="204" t="s">
        <v>98</v>
      </c>
      <c r="C34" s="204"/>
      <c r="D34" s="108"/>
      <c r="E34" s="118"/>
      <c r="F34" s="119">
        <f>SUM(F7:F33)</f>
        <v>0</v>
      </c>
      <c r="G34" s="120">
        <f>SUM(G7:G33)</f>
        <v>0</v>
      </c>
      <c r="H34" s="108"/>
      <c r="I34" s="108"/>
      <c r="J34" s="121"/>
      <c r="K34" s="108"/>
    </row>
    <row r="35" spans="1:11">
      <c r="J35" s="115"/>
    </row>
    <row r="36" spans="1:11">
      <c r="J36" s="115"/>
    </row>
    <row r="37" spans="1:11">
      <c r="J37" s="115"/>
    </row>
    <row r="38" spans="1:11">
      <c r="J38" s="115"/>
    </row>
    <row r="39" spans="1:11">
      <c r="J39" s="115"/>
    </row>
    <row r="40" spans="1:11">
      <c r="J40" s="115"/>
    </row>
    <row r="41" spans="1:11">
      <c r="J41" s="115"/>
    </row>
    <row r="42" spans="1:11">
      <c r="J42" s="115"/>
    </row>
    <row r="43" spans="1:11">
      <c r="J43" s="115"/>
    </row>
    <row r="44" spans="1:11">
      <c r="J44" s="115"/>
    </row>
    <row r="45" spans="1:11">
      <c r="J45" s="115"/>
    </row>
    <row r="46" spans="1:11">
      <c r="J46" s="115"/>
    </row>
    <row r="47" spans="1:11">
      <c r="J47" s="115"/>
    </row>
    <row r="48" spans="1:11">
      <c r="J48" s="115"/>
    </row>
    <row r="49" spans="10:10">
      <c r="J49" s="115"/>
    </row>
    <row r="50" spans="10:10">
      <c r="J50" s="115"/>
    </row>
    <row r="51" spans="10:10">
      <c r="J51" s="115"/>
    </row>
    <row r="52" spans="10:10">
      <c r="J52" s="115"/>
    </row>
    <row r="53" spans="10:10">
      <c r="J53" s="115"/>
    </row>
    <row r="54" spans="10:10">
      <c r="J54" s="115"/>
    </row>
    <row r="55" spans="10:10">
      <c r="J55" s="115"/>
    </row>
    <row r="56" spans="10:10">
      <c r="J56" s="115"/>
    </row>
    <row r="57" spans="10:10">
      <c r="J57" s="115"/>
    </row>
    <row r="58" spans="10:10">
      <c r="J58" s="115"/>
    </row>
    <row r="59" spans="10:10">
      <c r="J59" s="115"/>
    </row>
    <row r="60" spans="10:10">
      <c r="J60" s="115"/>
    </row>
    <row r="61" spans="10:10">
      <c r="J61" s="115"/>
    </row>
    <row r="62" spans="10:10">
      <c r="J62" s="115"/>
    </row>
    <row r="63" spans="10:10">
      <c r="J63" s="115"/>
    </row>
    <row r="64" spans="10:10">
      <c r="J64" s="115"/>
    </row>
    <row r="65" spans="10:10">
      <c r="J65" s="115"/>
    </row>
    <row r="66" spans="10:10">
      <c r="J66" s="115"/>
    </row>
    <row r="67" spans="10:10">
      <c r="J67" s="115"/>
    </row>
    <row r="68" spans="10:10">
      <c r="J68" s="115"/>
    </row>
    <row r="69" spans="10:10">
      <c r="J69" s="115"/>
    </row>
    <row r="70" spans="10:10">
      <c r="J70" s="115"/>
    </row>
    <row r="71" spans="10:10">
      <c r="J71" s="115"/>
    </row>
    <row r="72" spans="10:10">
      <c r="J72" s="115"/>
    </row>
    <row r="73" spans="10:10">
      <c r="J73" s="115"/>
    </row>
    <row r="74" spans="10:10">
      <c r="J74" s="115"/>
    </row>
    <row r="75" spans="10:10">
      <c r="J75" s="115"/>
    </row>
    <row r="76" spans="10:10">
      <c r="J76" s="115"/>
    </row>
    <row r="77" spans="10:10">
      <c r="J77" s="115"/>
    </row>
    <row r="78" spans="10:10">
      <c r="J78" s="115"/>
    </row>
    <row r="79" spans="10:10">
      <c r="J79" s="115"/>
    </row>
    <row r="80" spans="10:10">
      <c r="J80" s="115"/>
    </row>
    <row r="81" spans="10:10">
      <c r="J81" s="115"/>
    </row>
    <row r="82" spans="10:10">
      <c r="J82" s="115"/>
    </row>
    <row r="83" spans="10:10">
      <c r="J83" s="115"/>
    </row>
    <row r="84" spans="10:10">
      <c r="J84" s="115"/>
    </row>
    <row r="85" spans="10:10">
      <c r="J85" s="115"/>
    </row>
    <row r="86" spans="10:10">
      <c r="J86" s="115"/>
    </row>
    <row r="87" spans="10:10">
      <c r="J87" s="115"/>
    </row>
    <row r="88" spans="10:10">
      <c r="J88" s="115"/>
    </row>
    <row r="89" spans="10:10">
      <c r="J89" s="115"/>
    </row>
    <row r="90" spans="10:10">
      <c r="J90" s="115"/>
    </row>
    <row r="91" spans="10:10">
      <c r="J91" s="115"/>
    </row>
    <row r="92" spans="10:10">
      <c r="J92" s="115"/>
    </row>
    <row r="93" spans="10:10">
      <c r="J93" s="115"/>
    </row>
    <row r="94" spans="10:10">
      <c r="J94" s="115"/>
    </row>
    <row r="95" spans="10:10">
      <c r="J95" s="115"/>
    </row>
    <row r="96" spans="10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4:C34"/>
  </mergeCells>
  <hyperlinks>
    <hyperlink ref="K2" location="الاليات!A1" display="الاليات " xr:uid="{00000000-0004-0000-7400-000000000000}"/>
  </hyperlinks>
  <pageMargins left="0.7" right="0.7" top="0.75" bottom="0.75" header="0.3" footer="0.3"/>
  <pageSetup paperSize="9" scale="76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0070C0"/>
    <pageSetUpPr fitToPage="1"/>
  </sheetPr>
  <dimension ref="A1:K118"/>
  <sheetViews>
    <sheetView rightToLeft="1" view="pageBreakPreview" zoomScaleNormal="100" zoomScaleSheetLayoutView="100" workbookViewId="0">
      <selection activeCell="B8" sqref="B8"/>
    </sheetView>
  </sheetViews>
  <sheetFormatPr defaultColWidth="9.109375" defaultRowHeight="17.399999999999999"/>
  <cols>
    <col min="1" max="1" width="3.44140625" style="1" customWidth="1"/>
    <col min="2" max="2" width="15.33203125" style="1" bestFit="1" customWidth="1"/>
    <col min="3" max="3" width="12.77734375" style="1" bestFit="1" customWidth="1"/>
    <col min="4" max="4" width="4.5546875" style="1" bestFit="1" customWidth="1"/>
    <col min="5" max="5" width="11" style="73" bestFit="1" customWidth="1"/>
    <col min="6" max="6" width="11" style="114" bestFit="1" customWidth="1"/>
    <col min="7" max="7" width="6.109375" style="79" bestFit="1" customWidth="1"/>
    <col min="8" max="8" width="13.44140625" style="1" bestFit="1" customWidth="1"/>
    <col min="9" max="9" width="9.44140625" style="1" bestFit="1" customWidth="1"/>
    <col min="10" max="10" width="6.6640625" style="1" bestFit="1" customWidth="1"/>
    <col min="11" max="11" width="16.88671875" style="1" bestFit="1" customWidth="1"/>
    <col min="12" max="16384" width="9.109375" style="1"/>
  </cols>
  <sheetData>
    <row r="1" spans="1:11">
      <c r="A1" s="205" t="s">
        <v>10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1" customHeight="1">
      <c r="A2" s="35">
        <v>1</v>
      </c>
      <c r="B2" s="202" t="s">
        <v>62</v>
      </c>
      <c r="C2" s="203"/>
      <c r="D2" s="85"/>
      <c r="E2" s="86" t="s">
        <v>8</v>
      </c>
      <c r="F2" s="87">
        <v>2009</v>
      </c>
      <c r="G2" s="88"/>
      <c r="H2" s="89" t="s">
        <v>100</v>
      </c>
      <c r="I2" s="89"/>
      <c r="J2" s="81"/>
      <c r="K2" s="90" t="s">
        <v>102</v>
      </c>
    </row>
    <row r="3" spans="1:11">
      <c r="A3" s="35"/>
      <c r="B3" s="89" t="s">
        <v>99</v>
      </c>
      <c r="C3" s="17" t="s">
        <v>91</v>
      </c>
      <c r="D3" s="89"/>
      <c r="E3" s="86" t="s">
        <v>68</v>
      </c>
      <c r="F3" s="91" t="s">
        <v>70</v>
      </c>
      <c r="G3" s="88"/>
      <c r="H3" s="89" t="s">
        <v>824</v>
      </c>
      <c r="I3" s="89"/>
      <c r="J3" s="81"/>
      <c r="K3" s="81"/>
    </row>
    <row r="4" spans="1:11">
      <c r="A4" s="35"/>
      <c r="B4" s="89"/>
      <c r="C4" s="89"/>
      <c r="D4" s="89"/>
      <c r="E4" s="86"/>
      <c r="F4" s="91"/>
      <c r="G4" s="92"/>
      <c r="H4" s="81"/>
      <c r="I4" s="81"/>
      <c r="J4" s="81"/>
      <c r="K4" s="17"/>
    </row>
    <row r="5" spans="1:11">
      <c r="A5" s="35"/>
      <c r="B5" s="17" t="s">
        <v>855</v>
      </c>
      <c r="C5" s="89" t="s">
        <v>847</v>
      </c>
      <c r="D5" s="89"/>
      <c r="E5" s="86"/>
      <c r="F5" s="93"/>
      <c r="G5" s="92"/>
      <c r="H5" s="81"/>
      <c r="I5" s="23"/>
      <c r="J5" s="81"/>
      <c r="K5" s="17"/>
    </row>
    <row r="6" spans="1:11" s="73" customFormat="1" ht="52.2">
      <c r="A6" s="94" t="s">
        <v>9</v>
      </c>
      <c r="B6" s="94" t="s">
        <v>853</v>
      </c>
      <c r="C6" s="94" t="s">
        <v>93</v>
      </c>
      <c r="D6" s="94" t="s">
        <v>2</v>
      </c>
      <c r="E6" s="94" t="s">
        <v>1</v>
      </c>
      <c r="F6" s="95" t="s">
        <v>5</v>
      </c>
      <c r="G6" s="96" t="s">
        <v>4</v>
      </c>
      <c r="H6" s="94" t="s">
        <v>0</v>
      </c>
      <c r="I6" s="94" t="s">
        <v>101</v>
      </c>
      <c r="J6" s="94" t="s">
        <v>970</v>
      </c>
      <c r="K6" s="97"/>
    </row>
    <row r="7" spans="1:11">
      <c r="A7" s="98">
        <v>3</v>
      </c>
      <c r="B7" s="98"/>
      <c r="C7" s="98"/>
      <c r="D7" s="98"/>
      <c r="E7" s="99"/>
      <c r="F7" s="100"/>
      <c r="G7" s="101"/>
      <c r="H7" s="98"/>
      <c r="I7" s="98"/>
      <c r="J7" s="102"/>
      <c r="K7" s="17"/>
    </row>
    <row r="8" spans="1:11">
      <c r="A8" s="98">
        <v>4</v>
      </c>
      <c r="B8" s="98"/>
      <c r="C8" s="98"/>
      <c r="D8" s="98"/>
      <c r="E8" s="99"/>
      <c r="F8" s="100"/>
      <c r="G8" s="101"/>
      <c r="H8" s="98"/>
      <c r="I8" s="98"/>
      <c r="J8" s="102"/>
      <c r="K8" s="17"/>
    </row>
    <row r="9" spans="1:11">
      <c r="A9" s="98">
        <v>5</v>
      </c>
      <c r="B9" s="98"/>
      <c r="C9" s="98"/>
      <c r="D9" s="98"/>
      <c r="E9" s="99"/>
      <c r="F9" s="100"/>
      <c r="G9" s="101"/>
      <c r="H9" s="98"/>
      <c r="I9" s="98"/>
      <c r="J9" s="102"/>
      <c r="K9" s="17"/>
    </row>
    <row r="10" spans="1:11">
      <c r="A10" s="98">
        <v>6</v>
      </c>
      <c r="B10" s="98"/>
      <c r="C10" s="98"/>
      <c r="D10" s="98"/>
      <c r="E10" s="99"/>
      <c r="F10" s="100"/>
      <c r="G10" s="101"/>
      <c r="H10" s="98"/>
      <c r="I10" s="98"/>
      <c r="J10" s="102"/>
      <c r="K10" s="17"/>
    </row>
    <row r="11" spans="1:11">
      <c r="A11" s="98">
        <v>7</v>
      </c>
      <c r="B11" s="98"/>
      <c r="C11" s="98"/>
      <c r="D11" s="98"/>
      <c r="E11" s="99"/>
      <c r="F11" s="100"/>
      <c r="G11" s="101"/>
      <c r="H11" s="98"/>
      <c r="I11" s="98"/>
      <c r="J11" s="102"/>
      <c r="K11" s="17"/>
    </row>
    <row r="12" spans="1:11">
      <c r="A12" s="98">
        <v>8</v>
      </c>
      <c r="B12" s="98"/>
      <c r="C12" s="98"/>
      <c r="D12" s="98"/>
      <c r="E12" s="99"/>
      <c r="F12" s="100"/>
      <c r="G12" s="101"/>
      <c r="H12" s="98"/>
      <c r="I12" s="98"/>
      <c r="J12" s="102"/>
      <c r="K12" s="17"/>
    </row>
    <row r="13" spans="1:11">
      <c r="A13" s="98">
        <v>9</v>
      </c>
      <c r="B13" s="98"/>
      <c r="C13" s="98"/>
      <c r="D13" s="98"/>
      <c r="E13" s="99"/>
      <c r="F13" s="100"/>
      <c r="G13" s="101"/>
      <c r="H13" s="98"/>
      <c r="I13" s="98"/>
      <c r="J13" s="102"/>
      <c r="K13" s="17"/>
    </row>
    <row r="14" spans="1:11">
      <c r="A14" s="98">
        <v>10</v>
      </c>
      <c r="B14" s="98"/>
      <c r="C14" s="98"/>
      <c r="D14" s="98"/>
      <c r="E14" s="99"/>
      <c r="F14" s="100"/>
      <c r="G14" s="101"/>
      <c r="H14" s="98"/>
      <c r="I14" s="98"/>
      <c r="J14" s="102"/>
      <c r="K14" s="17"/>
    </row>
    <row r="15" spans="1:11">
      <c r="A15" s="98">
        <v>11</v>
      </c>
      <c r="B15" s="98"/>
      <c r="C15" s="98"/>
      <c r="D15" s="98"/>
      <c r="E15" s="99"/>
      <c r="F15" s="100"/>
      <c r="G15" s="101"/>
      <c r="H15" s="98"/>
      <c r="I15" s="98"/>
      <c r="J15" s="102"/>
      <c r="K15" s="17"/>
    </row>
    <row r="16" spans="1:11">
      <c r="A16" s="98">
        <v>12</v>
      </c>
      <c r="B16" s="98"/>
      <c r="C16" s="98"/>
      <c r="D16" s="98"/>
      <c r="E16" s="99"/>
      <c r="F16" s="100"/>
      <c r="G16" s="101"/>
      <c r="H16" s="98"/>
      <c r="I16" s="98"/>
      <c r="J16" s="102"/>
      <c r="K16" s="17"/>
    </row>
    <row r="17" spans="1:11">
      <c r="A17" s="98">
        <v>13</v>
      </c>
      <c r="B17" s="98"/>
      <c r="C17" s="98"/>
      <c r="D17" s="98"/>
      <c r="E17" s="99"/>
      <c r="F17" s="100"/>
      <c r="G17" s="101"/>
      <c r="H17" s="98"/>
      <c r="I17" s="98"/>
      <c r="J17" s="102"/>
      <c r="K17" s="17"/>
    </row>
    <row r="18" spans="1:11">
      <c r="A18" s="98">
        <v>14</v>
      </c>
      <c r="B18" s="98"/>
      <c r="C18" s="98"/>
      <c r="D18" s="98"/>
      <c r="E18" s="99"/>
      <c r="F18" s="100"/>
      <c r="G18" s="101"/>
      <c r="H18" s="98"/>
      <c r="I18" s="98"/>
      <c r="J18" s="102"/>
      <c r="K18" s="17"/>
    </row>
    <row r="19" spans="1:11">
      <c r="A19" s="98">
        <v>15</v>
      </c>
      <c r="B19" s="98"/>
      <c r="C19" s="98"/>
      <c r="D19" s="98"/>
      <c r="E19" s="99"/>
      <c r="F19" s="100"/>
      <c r="G19" s="101"/>
      <c r="H19" s="98"/>
      <c r="I19" s="98"/>
      <c r="J19" s="102"/>
      <c r="K19" s="17"/>
    </row>
    <row r="20" spans="1:11">
      <c r="A20" s="98">
        <v>16</v>
      </c>
      <c r="B20" s="98"/>
      <c r="C20" s="98"/>
      <c r="D20" s="98"/>
      <c r="E20" s="99"/>
      <c r="F20" s="100"/>
      <c r="G20" s="101"/>
      <c r="H20" s="98"/>
      <c r="I20" s="98"/>
      <c r="J20" s="102"/>
      <c r="K20" s="17"/>
    </row>
    <row r="21" spans="1:11">
      <c r="A21" s="98">
        <v>17</v>
      </c>
      <c r="B21" s="98"/>
      <c r="C21" s="98"/>
      <c r="D21" s="98"/>
      <c r="E21" s="99"/>
      <c r="F21" s="100"/>
      <c r="G21" s="101"/>
      <c r="H21" s="98"/>
      <c r="I21" s="98"/>
      <c r="J21" s="102"/>
      <c r="K21" s="17"/>
    </row>
    <row r="22" spans="1:11">
      <c r="A22" s="98">
        <v>18</v>
      </c>
      <c r="B22" s="98"/>
      <c r="C22" s="98"/>
      <c r="D22" s="98"/>
      <c r="E22" s="99"/>
      <c r="F22" s="100"/>
      <c r="G22" s="101"/>
      <c r="H22" s="98"/>
      <c r="I22" s="98"/>
      <c r="J22" s="102"/>
      <c r="K22" s="17"/>
    </row>
    <row r="23" spans="1:11">
      <c r="A23" s="98">
        <v>19</v>
      </c>
      <c r="B23" s="98"/>
      <c r="C23" s="98"/>
      <c r="D23" s="98"/>
      <c r="E23" s="99"/>
      <c r="F23" s="100"/>
      <c r="G23" s="101"/>
      <c r="H23" s="98"/>
      <c r="I23" s="98"/>
      <c r="J23" s="102"/>
      <c r="K23" s="17"/>
    </row>
    <row r="24" spans="1:11">
      <c r="A24" s="98">
        <v>20</v>
      </c>
      <c r="B24" s="98"/>
      <c r="C24" s="98"/>
      <c r="D24" s="98"/>
      <c r="E24" s="99"/>
      <c r="F24" s="100"/>
      <c r="G24" s="101"/>
      <c r="H24" s="98"/>
      <c r="I24" s="98"/>
      <c r="J24" s="102"/>
      <c r="K24" s="17"/>
    </row>
    <row r="25" spans="1:11">
      <c r="A25" s="98">
        <v>21</v>
      </c>
      <c r="B25" s="98"/>
      <c r="C25" s="98"/>
      <c r="D25" s="98"/>
      <c r="E25" s="99"/>
      <c r="F25" s="100"/>
      <c r="G25" s="101"/>
      <c r="H25" s="98"/>
      <c r="I25" s="98"/>
      <c r="J25" s="102"/>
      <c r="K25" s="17"/>
    </row>
    <row r="26" spans="1:11">
      <c r="A26" s="98">
        <v>22</v>
      </c>
      <c r="B26" s="98"/>
      <c r="C26" s="98"/>
      <c r="D26" s="98"/>
      <c r="E26" s="99"/>
      <c r="F26" s="100"/>
      <c r="G26" s="101"/>
      <c r="H26" s="98"/>
      <c r="I26" s="98"/>
      <c r="J26" s="102"/>
      <c r="K26" s="17"/>
    </row>
    <row r="27" spans="1:11">
      <c r="A27" s="98">
        <v>23</v>
      </c>
      <c r="B27" s="98"/>
      <c r="C27" s="98"/>
      <c r="D27" s="98"/>
      <c r="E27" s="99"/>
      <c r="F27" s="100"/>
      <c r="G27" s="101"/>
      <c r="H27" s="98"/>
      <c r="I27" s="98"/>
      <c r="J27" s="102"/>
      <c r="K27" s="17"/>
    </row>
    <row r="28" spans="1:11">
      <c r="A28" s="98">
        <v>24</v>
      </c>
      <c r="B28" s="98"/>
      <c r="C28" s="98"/>
      <c r="D28" s="98"/>
      <c r="E28" s="99"/>
      <c r="F28" s="100"/>
      <c r="G28" s="101"/>
      <c r="H28" s="98"/>
      <c r="I28" s="98"/>
      <c r="J28" s="102"/>
      <c r="K28" s="17"/>
    </row>
    <row r="29" spans="1:11">
      <c r="A29" s="98">
        <v>25</v>
      </c>
      <c r="B29" s="98"/>
      <c r="C29" s="98"/>
      <c r="D29" s="98"/>
      <c r="E29" s="99"/>
      <c r="F29" s="100"/>
      <c r="G29" s="101"/>
      <c r="H29" s="98"/>
      <c r="I29" s="98"/>
      <c r="J29" s="102"/>
      <c r="K29" s="17"/>
    </row>
    <row r="30" spans="1:11">
      <c r="A30" s="98">
        <v>26</v>
      </c>
      <c r="B30" s="98"/>
      <c r="C30" s="98"/>
      <c r="D30" s="98"/>
      <c r="E30" s="99"/>
      <c r="F30" s="100"/>
      <c r="G30" s="101"/>
      <c r="H30" s="98"/>
      <c r="I30" s="98"/>
      <c r="J30" s="102"/>
      <c r="K30" s="17"/>
    </row>
    <row r="31" spans="1:11">
      <c r="A31" s="98">
        <v>27</v>
      </c>
      <c r="B31" s="98"/>
      <c r="C31" s="98"/>
      <c r="D31" s="98"/>
      <c r="E31" s="99"/>
      <c r="F31" s="100"/>
      <c r="G31" s="101"/>
      <c r="H31" s="98"/>
      <c r="I31" s="98"/>
      <c r="J31" s="102"/>
      <c r="K31" s="17"/>
    </row>
    <row r="32" spans="1:11">
      <c r="A32" s="98">
        <v>28</v>
      </c>
      <c r="B32" s="98"/>
      <c r="C32" s="98"/>
      <c r="D32" s="98"/>
      <c r="E32" s="99"/>
      <c r="F32" s="100"/>
      <c r="G32" s="101"/>
      <c r="H32" s="98"/>
      <c r="I32" s="98"/>
      <c r="J32" s="102"/>
      <c r="K32" s="17"/>
    </row>
    <row r="33" spans="1:11">
      <c r="A33" s="98">
        <v>29</v>
      </c>
      <c r="B33" s="98"/>
      <c r="C33" s="98"/>
      <c r="D33" s="98"/>
      <c r="E33" s="99"/>
      <c r="F33" s="100"/>
      <c r="G33" s="101"/>
      <c r="H33" s="98"/>
      <c r="I33" s="98"/>
      <c r="J33" s="102"/>
      <c r="K33" s="17"/>
    </row>
    <row r="34" spans="1:11">
      <c r="A34" s="98">
        <v>30</v>
      </c>
      <c r="B34" s="98"/>
      <c r="C34" s="98"/>
      <c r="D34" s="98"/>
      <c r="E34" s="99"/>
      <c r="F34" s="100"/>
      <c r="G34" s="101"/>
      <c r="H34" s="98"/>
      <c r="I34" s="98"/>
      <c r="J34" s="102"/>
      <c r="K34" s="17"/>
    </row>
    <row r="35" spans="1:11">
      <c r="A35" s="103"/>
      <c r="B35" s="206" t="s">
        <v>98</v>
      </c>
      <c r="C35" s="206"/>
      <c r="D35" s="103"/>
      <c r="E35" s="104"/>
      <c r="F35" s="105">
        <f>SUM(F7:F34)</f>
        <v>0</v>
      </c>
      <c r="G35" s="106">
        <f>SUM(G7:G34)</f>
        <v>0</v>
      </c>
      <c r="H35" s="103"/>
      <c r="I35" s="103"/>
      <c r="J35" s="107"/>
      <c r="K35" s="108"/>
    </row>
    <row r="36" spans="1:11">
      <c r="A36" s="109"/>
      <c r="B36" s="109"/>
      <c r="C36" s="109"/>
      <c r="D36" s="109"/>
      <c r="E36" s="110"/>
      <c r="F36" s="111"/>
      <c r="G36" s="112"/>
      <c r="H36" s="109"/>
      <c r="I36" s="109"/>
      <c r="J36" s="113"/>
    </row>
    <row r="37" spans="1:11">
      <c r="A37" s="109"/>
      <c r="B37" s="109"/>
      <c r="C37" s="109"/>
      <c r="D37" s="109"/>
      <c r="E37" s="110"/>
      <c r="F37" s="111"/>
      <c r="G37" s="112"/>
      <c r="H37" s="109"/>
      <c r="I37" s="109"/>
      <c r="J37" s="113"/>
    </row>
    <row r="38" spans="1:11">
      <c r="A38" s="109"/>
      <c r="B38" s="109"/>
      <c r="C38" s="109"/>
      <c r="D38" s="109"/>
      <c r="E38" s="110"/>
      <c r="F38" s="111"/>
      <c r="G38" s="112"/>
      <c r="H38" s="109"/>
      <c r="I38" s="109"/>
      <c r="J38" s="113"/>
    </row>
    <row r="39" spans="1:11">
      <c r="A39" s="109"/>
      <c r="B39" s="109"/>
      <c r="C39" s="109"/>
      <c r="D39" s="109"/>
      <c r="E39" s="110"/>
      <c r="F39" s="111"/>
      <c r="G39" s="112"/>
      <c r="H39" s="109"/>
      <c r="I39" s="109"/>
      <c r="J39" s="113"/>
    </row>
    <row r="40" spans="1:11">
      <c r="A40" s="109"/>
      <c r="B40" s="109"/>
      <c r="C40" s="109"/>
      <c r="D40" s="109"/>
      <c r="E40" s="110"/>
      <c r="F40" s="111"/>
      <c r="G40" s="112"/>
      <c r="H40" s="109"/>
      <c r="I40" s="109"/>
      <c r="J40" s="113"/>
    </row>
    <row r="41" spans="1:11">
      <c r="A41" s="109"/>
      <c r="B41" s="109"/>
      <c r="C41" s="109"/>
      <c r="D41" s="109"/>
      <c r="E41" s="110"/>
      <c r="F41" s="111"/>
      <c r="G41" s="112"/>
      <c r="H41" s="109"/>
      <c r="I41" s="109"/>
      <c r="J41" s="113"/>
    </row>
    <row r="42" spans="1:11">
      <c r="A42" s="109"/>
      <c r="B42" s="109"/>
      <c r="C42" s="109"/>
      <c r="D42" s="109"/>
      <c r="E42" s="110"/>
      <c r="F42" s="111"/>
      <c r="G42" s="112"/>
      <c r="H42" s="109"/>
      <c r="I42" s="109"/>
      <c r="J42" s="113"/>
    </row>
    <row r="43" spans="1:11">
      <c r="A43" s="109"/>
      <c r="B43" s="109"/>
      <c r="C43" s="109"/>
      <c r="D43" s="109"/>
      <c r="E43" s="110"/>
      <c r="F43" s="111"/>
      <c r="G43" s="112"/>
      <c r="H43" s="109"/>
      <c r="I43" s="109"/>
      <c r="J43" s="113"/>
    </row>
    <row r="44" spans="1:11">
      <c r="A44" s="109"/>
      <c r="B44" s="109"/>
      <c r="C44" s="109"/>
      <c r="D44" s="109"/>
      <c r="E44" s="110"/>
      <c r="F44" s="111"/>
      <c r="G44" s="112"/>
      <c r="H44" s="109"/>
      <c r="I44" s="109"/>
      <c r="J44" s="113"/>
    </row>
    <row r="45" spans="1:11">
      <c r="A45" s="109"/>
      <c r="B45" s="109"/>
      <c r="C45" s="109"/>
      <c r="D45" s="109"/>
      <c r="E45" s="110"/>
      <c r="F45" s="111"/>
      <c r="G45" s="112"/>
      <c r="H45" s="109"/>
      <c r="I45" s="109"/>
      <c r="J45" s="113"/>
    </row>
    <row r="46" spans="1:11">
      <c r="A46" s="109"/>
      <c r="B46" s="109"/>
      <c r="C46" s="109"/>
      <c r="D46" s="109"/>
      <c r="E46" s="110"/>
      <c r="F46" s="111"/>
      <c r="G46" s="112"/>
      <c r="H46" s="109"/>
      <c r="I46" s="109"/>
      <c r="J46" s="113"/>
    </row>
    <row r="47" spans="1:11">
      <c r="A47" s="109"/>
      <c r="B47" s="109"/>
      <c r="C47" s="109"/>
      <c r="D47" s="109"/>
      <c r="E47" s="110"/>
      <c r="F47" s="111"/>
      <c r="G47" s="112"/>
      <c r="H47" s="109"/>
      <c r="I47" s="109"/>
      <c r="J47" s="113"/>
    </row>
    <row r="48" spans="1:11">
      <c r="A48" s="109"/>
      <c r="B48" s="109"/>
      <c r="C48" s="109"/>
      <c r="D48" s="109"/>
      <c r="E48" s="110"/>
      <c r="F48" s="111"/>
      <c r="G48" s="112"/>
      <c r="H48" s="109"/>
      <c r="I48" s="109"/>
      <c r="J48" s="113"/>
    </row>
    <row r="49" spans="1:10">
      <c r="A49" s="109"/>
      <c r="B49" s="109"/>
      <c r="C49" s="109"/>
      <c r="D49" s="109"/>
      <c r="E49" s="110"/>
      <c r="F49" s="111"/>
      <c r="G49" s="112"/>
      <c r="H49" s="109"/>
      <c r="I49" s="109"/>
      <c r="J49" s="113"/>
    </row>
    <row r="50" spans="1:10">
      <c r="A50" s="109"/>
      <c r="B50" s="109"/>
      <c r="C50" s="109"/>
      <c r="D50" s="109"/>
      <c r="E50" s="110"/>
      <c r="F50" s="111"/>
      <c r="G50" s="112"/>
      <c r="H50" s="109"/>
      <c r="I50" s="109"/>
      <c r="J50" s="113"/>
    </row>
    <row r="51" spans="1:10">
      <c r="A51" s="109"/>
      <c r="B51" s="109"/>
      <c r="C51" s="109"/>
      <c r="D51" s="109"/>
      <c r="E51" s="110"/>
      <c r="F51" s="111"/>
      <c r="G51" s="112"/>
      <c r="H51" s="109"/>
      <c r="I51" s="109"/>
      <c r="J51" s="113"/>
    </row>
    <row r="52" spans="1:10">
      <c r="A52" s="109"/>
      <c r="B52" s="109"/>
      <c r="C52" s="109"/>
      <c r="D52" s="109"/>
      <c r="E52" s="110"/>
      <c r="F52" s="111"/>
      <c r="G52" s="112"/>
      <c r="H52" s="109"/>
      <c r="I52" s="109"/>
      <c r="J52" s="113"/>
    </row>
    <row r="53" spans="1:10">
      <c r="A53" s="109"/>
      <c r="B53" s="109"/>
      <c r="C53" s="109"/>
      <c r="D53" s="109"/>
      <c r="E53" s="110"/>
      <c r="F53" s="111"/>
      <c r="G53" s="112"/>
      <c r="H53" s="109"/>
      <c r="I53" s="109"/>
      <c r="J53" s="113"/>
    </row>
    <row r="54" spans="1:10">
      <c r="A54" s="109"/>
      <c r="B54" s="109"/>
      <c r="C54" s="109"/>
      <c r="D54" s="109"/>
      <c r="E54" s="110"/>
      <c r="F54" s="111"/>
      <c r="G54" s="112"/>
      <c r="H54" s="109"/>
      <c r="I54" s="109"/>
      <c r="J54" s="113"/>
    </row>
    <row r="55" spans="1:10">
      <c r="A55" s="109"/>
      <c r="B55" s="109"/>
      <c r="C55" s="109"/>
      <c r="D55" s="109"/>
      <c r="E55" s="110"/>
      <c r="F55" s="111"/>
      <c r="G55" s="112"/>
      <c r="H55" s="109"/>
      <c r="I55" s="109"/>
      <c r="J55" s="113"/>
    </row>
    <row r="56" spans="1:10">
      <c r="A56" s="109"/>
      <c r="B56" s="109"/>
      <c r="C56" s="109"/>
      <c r="D56" s="109"/>
      <c r="E56" s="110"/>
      <c r="F56" s="111"/>
      <c r="G56" s="112"/>
      <c r="H56" s="109"/>
      <c r="I56" s="109"/>
      <c r="J56" s="113"/>
    </row>
    <row r="57" spans="1:10">
      <c r="A57" s="109"/>
      <c r="B57" s="109"/>
      <c r="C57" s="109"/>
      <c r="D57" s="109"/>
      <c r="E57" s="110"/>
      <c r="F57" s="111"/>
      <c r="G57" s="112"/>
      <c r="H57" s="109"/>
      <c r="I57" s="109"/>
      <c r="J57" s="113"/>
    </row>
    <row r="58" spans="1:10">
      <c r="A58" s="109"/>
      <c r="B58" s="109"/>
      <c r="C58" s="109"/>
      <c r="D58" s="109"/>
      <c r="E58" s="110"/>
      <c r="F58" s="111"/>
      <c r="G58" s="112"/>
      <c r="H58" s="109"/>
      <c r="I58" s="109"/>
      <c r="J58" s="113"/>
    </row>
    <row r="59" spans="1:10">
      <c r="A59" s="109"/>
      <c r="B59" s="109"/>
      <c r="C59" s="109"/>
      <c r="D59" s="109"/>
      <c r="E59" s="110"/>
      <c r="F59" s="111"/>
      <c r="G59" s="112"/>
      <c r="H59" s="109"/>
      <c r="I59" s="109"/>
      <c r="J59" s="113"/>
    </row>
    <row r="60" spans="1:10">
      <c r="A60" s="109"/>
      <c r="B60" s="109"/>
      <c r="C60" s="109"/>
      <c r="D60" s="109"/>
      <c r="E60" s="110"/>
      <c r="F60" s="111"/>
      <c r="G60" s="112"/>
      <c r="H60" s="109"/>
      <c r="I60" s="109"/>
      <c r="J60" s="113"/>
    </row>
    <row r="61" spans="1:10">
      <c r="A61" s="109"/>
      <c r="B61" s="109"/>
      <c r="C61" s="109"/>
      <c r="D61" s="109"/>
      <c r="E61" s="110"/>
      <c r="F61" s="111"/>
      <c r="G61" s="112"/>
      <c r="H61" s="109"/>
      <c r="I61" s="109"/>
      <c r="J61" s="113"/>
    </row>
    <row r="62" spans="1:10">
      <c r="A62" s="109"/>
      <c r="B62" s="109"/>
      <c r="C62" s="109"/>
      <c r="D62" s="109"/>
      <c r="E62" s="110"/>
      <c r="F62" s="111"/>
      <c r="G62" s="112"/>
      <c r="H62" s="109"/>
      <c r="I62" s="109"/>
      <c r="J62" s="113"/>
    </row>
    <row r="63" spans="1:10">
      <c r="A63" s="109"/>
      <c r="B63" s="109"/>
      <c r="C63" s="109"/>
      <c r="D63" s="109"/>
      <c r="E63" s="110"/>
      <c r="F63" s="111"/>
      <c r="G63" s="112"/>
      <c r="H63" s="109"/>
      <c r="I63" s="109"/>
      <c r="J63" s="113"/>
    </row>
    <row r="64" spans="1:10">
      <c r="A64" s="109"/>
      <c r="B64" s="109"/>
      <c r="C64" s="109"/>
      <c r="D64" s="109"/>
      <c r="E64" s="110"/>
      <c r="F64" s="111"/>
      <c r="G64" s="112"/>
      <c r="H64" s="109"/>
      <c r="I64" s="109"/>
      <c r="J64" s="113"/>
    </row>
    <row r="65" spans="1:10">
      <c r="A65" s="109"/>
      <c r="B65" s="109"/>
      <c r="C65" s="109"/>
      <c r="D65" s="109"/>
      <c r="E65" s="110"/>
      <c r="F65" s="111"/>
      <c r="G65" s="112"/>
      <c r="H65" s="109"/>
      <c r="I65" s="109"/>
      <c r="J65" s="113"/>
    </row>
    <row r="66" spans="1:10">
      <c r="A66" s="109"/>
      <c r="B66" s="109"/>
      <c r="C66" s="109"/>
      <c r="D66" s="109"/>
      <c r="E66" s="110"/>
      <c r="F66" s="111"/>
      <c r="G66" s="112"/>
      <c r="H66" s="109"/>
      <c r="I66" s="109"/>
      <c r="J66" s="113"/>
    </row>
    <row r="67" spans="1:10">
      <c r="A67" s="109"/>
      <c r="B67" s="109"/>
      <c r="C67" s="109"/>
      <c r="D67" s="109"/>
      <c r="E67" s="110"/>
      <c r="F67" s="111"/>
      <c r="G67" s="112"/>
      <c r="H67" s="109"/>
      <c r="I67" s="109"/>
      <c r="J67" s="113"/>
    </row>
    <row r="68" spans="1:10">
      <c r="A68" s="109"/>
      <c r="B68" s="109"/>
      <c r="C68" s="109"/>
      <c r="D68" s="109"/>
      <c r="E68" s="110"/>
      <c r="F68" s="111"/>
      <c r="G68" s="112"/>
      <c r="H68" s="109"/>
      <c r="I68" s="109"/>
      <c r="J68" s="113"/>
    </row>
    <row r="69" spans="1:10">
      <c r="A69" s="109"/>
      <c r="B69" s="109"/>
      <c r="C69" s="109"/>
      <c r="D69" s="109"/>
      <c r="E69" s="110"/>
      <c r="F69" s="111"/>
      <c r="G69" s="112"/>
      <c r="H69" s="109"/>
      <c r="I69" s="109"/>
      <c r="J69" s="113"/>
    </row>
    <row r="70" spans="1:10">
      <c r="A70" s="109"/>
      <c r="B70" s="109"/>
      <c r="C70" s="109"/>
      <c r="D70" s="109"/>
      <c r="E70" s="110"/>
      <c r="F70" s="111"/>
      <c r="G70" s="112"/>
      <c r="H70" s="109"/>
      <c r="I70" s="109"/>
      <c r="J70" s="113"/>
    </row>
    <row r="71" spans="1:10">
      <c r="A71" s="109"/>
      <c r="B71" s="109"/>
      <c r="C71" s="109"/>
      <c r="D71" s="109"/>
      <c r="E71" s="110"/>
      <c r="F71" s="111"/>
      <c r="G71" s="112"/>
      <c r="H71" s="109"/>
      <c r="I71" s="109"/>
      <c r="J71" s="113"/>
    </row>
    <row r="72" spans="1:10">
      <c r="A72" s="109"/>
      <c r="B72" s="109"/>
      <c r="C72" s="109"/>
      <c r="D72" s="109"/>
      <c r="E72" s="110"/>
      <c r="F72" s="111"/>
      <c r="G72" s="112"/>
      <c r="H72" s="109"/>
      <c r="I72" s="109"/>
      <c r="J72" s="113"/>
    </row>
    <row r="73" spans="1:10">
      <c r="A73" s="109"/>
      <c r="B73" s="109"/>
      <c r="C73" s="109"/>
      <c r="D73" s="109"/>
      <c r="E73" s="110"/>
      <c r="F73" s="111"/>
      <c r="G73" s="112"/>
      <c r="H73" s="109"/>
      <c r="I73" s="109"/>
      <c r="J73" s="113"/>
    </row>
    <row r="74" spans="1:10">
      <c r="A74" s="109"/>
      <c r="B74" s="109"/>
      <c r="C74" s="109"/>
      <c r="D74" s="109"/>
      <c r="E74" s="110"/>
      <c r="F74" s="111"/>
      <c r="G74" s="112"/>
      <c r="H74" s="109"/>
      <c r="I74" s="109"/>
      <c r="J74" s="113"/>
    </row>
    <row r="75" spans="1:10">
      <c r="A75" s="109"/>
      <c r="B75" s="109"/>
      <c r="C75" s="109"/>
      <c r="D75" s="109"/>
      <c r="E75" s="110"/>
      <c r="F75" s="111"/>
      <c r="G75" s="112"/>
      <c r="H75" s="109"/>
      <c r="I75" s="109"/>
      <c r="J75" s="113"/>
    </row>
    <row r="76" spans="1:10">
      <c r="A76" s="109"/>
      <c r="B76" s="109"/>
      <c r="C76" s="109"/>
      <c r="D76" s="109"/>
      <c r="E76" s="110"/>
      <c r="F76" s="111"/>
      <c r="G76" s="112"/>
      <c r="H76" s="109"/>
      <c r="I76" s="109"/>
      <c r="J76" s="113"/>
    </row>
    <row r="77" spans="1:10">
      <c r="A77" s="109"/>
      <c r="B77" s="109"/>
      <c r="C77" s="109"/>
      <c r="D77" s="109"/>
      <c r="E77" s="110"/>
      <c r="F77" s="111"/>
      <c r="G77" s="112"/>
      <c r="H77" s="109"/>
      <c r="I77" s="109"/>
      <c r="J77" s="113"/>
    </row>
    <row r="78" spans="1:10">
      <c r="A78" s="109"/>
      <c r="B78" s="109"/>
      <c r="C78" s="109"/>
      <c r="D78" s="109"/>
      <c r="E78" s="110"/>
      <c r="F78" s="111"/>
      <c r="G78" s="112"/>
      <c r="H78" s="109"/>
      <c r="I78" s="109"/>
      <c r="J78" s="113"/>
    </row>
    <row r="79" spans="1:10">
      <c r="A79" s="109"/>
      <c r="B79" s="109"/>
      <c r="C79" s="109"/>
      <c r="D79" s="109"/>
      <c r="E79" s="110"/>
      <c r="F79" s="111"/>
      <c r="G79" s="112"/>
      <c r="H79" s="109"/>
      <c r="I79" s="109"/>
      <c r="J79" s="113"/>
    </row>
    <row r="80" spans="1:10">
      <c r="A80" s="109"/>
      <c r="B80" s="109"/>
      <c r="C80" s="109"/>
      <c r="D80" s="109"/>
      <c r="E80" s="110"/>
      <c r="F80" s="111"/>
      <c r="G80" s="112"/>
      <c r="H80" s="109"/>
      <c r="I80" s="109"/>
      <c r="J80" s="113"/>
    </row>
    <row r="81" spans="1:10">
      <c r="A81" s="109"/>
      <c r="B81" s="109"/>
      <c r="C81" s="109"/>
      <c r="D81" s="109"/>
      <c r="E81" s="110"/>
      <c r="F81" s="111"/>
      <c r="G81" s="112"/>
      <c r="H81" s="109"/>
      <c r="I81" s="109"/>
      <c r="J81" s="113"/>
    </row>
    <row r="82" spans="1:10">
      <c r="A82" s="109"/>
      <c r="B82" s="109"/>
      <c r="C82" s="109"/>
      <c r="D82" s="109"/>
      <c r="E82" s="110"/>
      <c r="F82" s="111"/>
      <c r="G82" s="112"/>
      <c r="H82" s="109"/>
      <c r="I82" s="109"/>
      <c r="J82" s="113"/>
    </row>
    <row r="83" spans="1:10">
      <c r="A83" s="109"/>
      <c r="B83" s="109"/>
      <c r="C83" s="109"/>
      <c r="D83" s="109"/>
      <c r="E83" s="110"/>
      <c r="F83" s="111"/>
      <c r="G83" s="112"/>
      <c r="H83" s="109"/>
      <c r="I83" s="109"/>
      <c r="J83" s="113"/>
    </row>
    <row r="84" spans="1:10">
      <c r="A84" s="109"/>
      <c r="B84" s="109"/>
      <c r="C84" s="109"/>
      <c r="D84" s="109"/>
      <c r="E84" s="110"/>
      <c r="F84" s="111"/>
      <c r="G84" s="112"/>
      <c r="H84" s="109"/>
      <c r="I84" s="109"/>
      <c r="J84" s="113"/>
    </row>
    <row r="85" spans="1:10">
      <c r="J85" s="115"/>
    </row>
    <row r="86" spans="1:10">
      <c r="J86" s="115"/>
    </row>
    <row r="87" spans="1:10">
      <c r="J87" s="115"/>
    </row>
    <row r="88" spans="1:10">
      <c r="J88" s="115"/>
    </row>
    <row r="89" spans="1:10">
      <c r="J89" s="115"/>
    </row>
    <row r="90" spans="1:10">
      <c r="J90" s="115"/>
    </row>
    <row r="91" spans="1:10">
      <c r="J91" s="115"/>
    </row>
    <row r="92" spans="1:10">
      <c r="J92" s="115"/>
    </row>
    <row r="93" spans="1:10">
      <c r="J93" s="115"/>
    </row>
    <row r="94" spans="1:10">
      <c r="J94" s="115"/>
    </row>
    <row r="95" spans="1:10">
      <c r="J95" s="115"/>
    </row>
    <row r="96" spans="1:10">
      <c r="J96" s="115"/>
    </row>
    <row r="97" spans="10:10">
      <c r="J97" s="115"/>
    </row>
    <row r="98" spans="10:10">
      <c r="J98" s="115"/>
    </row>
    <row r="99" spans="10:10">
      <c r="J99" s="115"/>
    </row>
    <row r="100" spans="10:10">
      <c r="J100" s="115"/>
    </row>
    <row r="101" spans="10:10">
      <c r="J101" s="115"/>
    </row>
    <row r="102" spans="10:10">
      <c r="J102" s="115"/>
    </row>
    <row r="103" spans="10:10">
      <c r="J103" s="115"/>
    </row>
    <row r="104" spans="10:10">
      <c r="J104" s="115"/>
    </row>
    <row r="105" spans="10:10">
      <c r="J105" s="115"/>
    </row>
    <row r="106" spans="10:10">
      <c r="J106" s="115"/>
    </row>
    <row r="107" spans="10:10">
      <c r="J107" s="115"/>
    </row>
    <row r="108" spans="10:10">
      <c r="J108" s="115"/>
    </row>
    <row r="109" spans="10:10">
      <c r="J109" s="115"/>
    </row>
    <row r="110" spans="10:10">
      <c r="J110" s="115"/>
    </row>
    <row r="111" spans="10:10">
      <c r="J111" s="115"/>
    </row>
    <row r="112" spans="10:10">
      <c r="J112" s="115"/>
    </row>
    <row r="113" spans="10:10">
      <c r="J113" s="115"/>
    </row>
    <row r="114" spans="10:10">
      <c r="J114" s="115"/>
    </row>
    <row r="115" spans="10:10">
      <c r="J115" s="115"/>
    </row>
    <row r="116" spans="10:10">
      <c r="J116" s="115"/>
    </row>
    <row r="117" spans="10:10">
      <c r="J117" s="115"/>
    </row>
    <row r="118" spans="10:10">
      <c r="J118" s="115"/>
    </row>
  </sheetData>
  <mergeCells count="3">
    <mergeCell ref="A1:K1"/>
    <mergeCell ref="B2:C2"/>
    <mergeCell ref="B35:C35"/>
  </mergeCells>
  <hyperlinks>
    <hyperlink ref="K2" location="الاليات!A1" display="الاليات " xr:uid="{00000000-0004-0000-7500-000000000000}"/>
  </hyperlink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121</vt:i4>
      </vt:variant>
      <vt:variant>
        <vt:lpstr>Named Ranges</vt:lpstr>
      </vt:variant>
      <vt:variant>
        <vt:i4>2</vt:i4>
      </vt:variant>
    </vt:vector>
  </HeadingPairs>
  <TitlesOfParts>
    <vt:vector size="123" baseType="lpstr">
      <vt:lpstr>الاليات</vt:lpstr>
      <vt:lpstr>C 22730</vt:lpstr>
      <vt:lpstr>366</vt:lpstr>
      <vt:lpstr>C8365</vt:lpstr>
      <vt:lpstr>C23987</vt:lpstr>
      <vt:lpstr> C 24000- خباطة</vt:lpstr>
      <vt:lpstr>C 24135- خباطة </vt:lpstr>
      <vt:lpstr>C 24283 - خباطة </vt:lpstr>
      <vt:lpstr>توسان 88707</vt:lpstr>
      <vt:lpstr> 11 A 71993 تويوتا بيك اب</vt:lpstr>
      <vt:lpstr>11 W 8011 تاهو</vt:lpstr>
      <vt:lpstr>برادو 2009</vt:lpstr>
      <vt:lpstr>2022 البرادو </vt:lpstr>
      <vt:lpstr>جيب شيروكي </vt:lpstr>
      <vt:lpstr>راف فور</vt:lpstr>
      <vt:lpstr>تويوتا بكب 28332</vt:lpstr>
      <vt:lpstr>تويوتا بكب 88646</vt:lpstr>
      <vt:lpstr>تويوتا بكب 71711</vt:lpstr>
      <vt:lpstr>تويوتا بكب 9364</vt:lpstr>
      <vt:lpstr>تويوتا بكب 38020</vt:lpstr>
      <vt:lpstr>H 68461 تويوتا بكب</vt:lpstr>
      <vt:lpstr>H 83043 تويوتا بكب </vt:lpstr>
      <vt:lpstr>2025 تويوتا بكب (2)</vt:lpstr>
      <vt:lpstr>2025 تويوتا بكب (3)</vt:lpstr>
      <vt:lpstr>2025 تويوتا بكب (4)  </vt:lpstr>
      <vt:lpstr>تويوتا بكب 49923</vt:lpstr>
      <vt:lpstr>كيا 87740</vt:lpstr>
      <vt:lpstr>كيا 84103</vt:lpstr>
      <vt:lpstr>كيا 87065</vt:lpstr>
      <vt:lpstr>كيا  68783 </vt:lpstr>
      <vt:lpstr>كيا 80540</vt:lpstr>
      <vt:lpstr>كيا 4462</vt:lpstr>
      <vt:lpstr>كيا 41711</vt:lpstr>
      <vt:lpstr>كيا 46696</vt:lpstr>
      <vt:lpstr>كيا  99237 </vt:lpstr>
      <vt:lpstr>كنتر بيك اب 94707</vt:lpstr>
      <vt:lpstr>خباطة 50955</vt:lpstr>
      <vt:lpstr>خباطة 94900</vt:lpstr>
      <vt:lpstr>خباطة 53389</vt:lpstr>
      <vt:lpstr>خباطة 29501</vt:lpstr>
      <vt:lpstr>خباطة 60036</vt:lpstr>
      <vt:lpstr>خباطة 10976</vt:lpstr>
      <vt:lpstr>حفار9315</vt:lpstr>
      <vt:lpstr>حفار  6943 </vt:lpstr>
      <vt:lpstr>حفار9499</vt:lpstr>
      <vt:lpstr>10967 حفارة </vt:lpstr>
      <vt:lpstr>حفار9540</vt:lpstr>
      <vt:lpstr>حفارة 8623</vt:lpstr>
      <vt:lpstr>حفارة 9797</vt:lpstr>
      <vt:lpstr>حفارة 9726</vt:lpstr>
      <vt:lpstr>حفار8305</vt:lpstr>
      <vt:lpstr>حفارة 58180</vt:lpstr>
      <vt:lpstr>حفارر24006</vt:lpstr>
      <vt:lpstr>حفارر 58178</vt:lpstr>
      <vt:lpstr>حفار كماتسو صغير </vt:lpstr>
      <vt:lpstr>شفل9595</vt:lpstr>
      <vt:lpstr>شفل8664</vt:lpstr>
      <vt:lpstr>شفل  8624</vt:lpstr>
      <vt:lpstr>شفل77701</vt:lpstr>
      <vt:lpstr>شفل6010</vt:lpstr>
      <vt:lpstr>شفل2493</vt:lpstr>
      <vt:lpstr>شفل 50915 </vt:lpstr>
      <vt:lpstr>شفل57943</vt:lpstr>
      <vt:lpstr>شفل57946</vt:lpstr>
      <vt:lpstr>شفل22745</vt:lpstr>
      <vt:lpstr>96004 شفل </vt:lpstr>
      <vt:lpstr>بلدوزر8640</vt:lpstr>
      <vt:lpstr> كريدر 50913</vt:lpstr>
      <vt:lpstr>بلدوزر 50826</vt:lpstr>
      <vt:lpstr>بلدوزر 8641</vt:lpstr>
      <vt:lpstr>جي سي بي 8627</vt:lpstr>
      <vt:lpstr>جي سي بي 57945</vt:lpstr>
      <vt:lpstr>كرين 50827</vt:lpstr>
      <vt:lpstr>كرين 673</vt:lpstr>
      <vt:lpstr> كرين53035</vt:lpstr>
      <vt:lpstr>كرين 2884</vt:lpstr>
      <vt:lpstr>كرين 50313</vt:lpstr>
      <vt:lpstr>قلاب 98959</vt:lpstr>
      <vt:lpstr>قلاب 163283</vt:lpstr>
      <vt:lpstr>قلاب 163529</vt:lpstr>
      <vt:lpstr>قلاب 95072</vt:lpstr>
      <vt:lpstr>قلاب 66478</vt:lpstr>
      <vt:lpstr>قلاب 62041</vt:lpstr>
      <vt:lpstr>قلاب 84878</vt:lpstr>
      <vt:lpstr>قلاب 90733</vt:lpstr>
      <vt:lpstr>تريلة25791</vt:lpstr>
      <vt:lpstr>تريلة 153869</vt:lpstr>
      <vt:lpstr>تريلة 17040</vt:lpstr>
      <vt:lpstr>تريلة 16495</vt:lpstr>
      <vt:lpstr>22 L129192</vt:lpstr>
      <vt:lpstr>تريلة17586</vt:lpstr>
      <vt:lpstr>رافعة41772</vt:lpstr>
      <vt:lpstr>رافعة 37750</vt:lpstr>
      <vt:lpstr>رافعة41771</vt:lpstr>
      <vt:lpstr>رافعة جنية بدون رقم </vt:lpstr>
      <vt:lpstr>رافعة شوكية  JCB </vt:lpstr>
      <vt:lpstr>رافعة 83708</vt:lpstr>
      <vt:lpstr>رافعة 6765</vt:lpstr>
      <vt:lpstr>رافعة8490</vt:lpstr>
      <vt:lpstr>حادلة  بدون رقم</vt:lpstr>
      <vt:lpstr>حادلة 57947</vt:lpstr>
      <vt:lpstr>حادلة 57942</vt:lpstr>
      <vt:lpstr>حادلة 8621</vt:lpstr>
      <vt:lpstr>حادلة 2 طن </vt:lpstr>
      <vt:lpstr>دنبر 9579</vt:lpstr>
      <vt:lpstr>دنبر 8620</vt:lpstr>
      <vt:lpstr>دنبر 9470</vt:lpstr>
      <vt:lpstr>دنبر 9239</vt:lpstr>
      <vt:lpstr>تنكر</vt:lpstr>
      <vt:lpstr>تنكر62587</vt:lpstr>
      <vt:lpstr>تنكر58565</vt:lpstr>
      <vt:lpstr>مضخة12248</vt:lpstr>
      <vt:lpstr>مضخة 44915</vt:lpstr>
      <vt:lpstr>رافعة 8321</vt:lpstr>
      <vt:lpstr>بكب 98670</vt:lpstr>
      <vt:lpstr>بكب قمارة 65793</vt:lpstr>
      <vt:lpstr>حافلة 41695</vt:lpstr>
      <vt:lpstr>حافلة 26579</vt:lpstr>
      <vt:lpstr>قلاب 45750</vt:lpstr>
      <vt:lpstr>ماكنة طرق51679 </vt:lpstr>
      <vt:lpstr>كيا 39419</vt:lpstr>
      <vt:lpstr>'11 W 8011 تاهو'!Print_Area</vt:lpstr>
      <vt:lpstr>الاليات!Print_Area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2026-06-11T07:54:31Z</dcterms:modified>
</cp:coreProperties>
</file>